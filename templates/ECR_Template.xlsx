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0"/>
  <workbookPr/>
  <mc:AlternateContent xmlns:mc="http://schemas.openxmlformats.org/markup-compatibility/2006">
    <mc:Choice Requires="x15">
      <x15ac:absPath xmlns:x15ac="http://schemas.microsoft.com/office/spreadsheetml/2010/11/ac" url="/Users/jhonjoemarlavictoria/Desktop/Class Forms/"/>
    </mc:Choice>
  </mc:AlternateContent>
  <xr:revisionPtr revIDLastSave="0" documentId="13_ncr:1_{38F430F2-F7F3-D644-B986-CD19BCD5021C}" xr6:coauthVersionLast="47" xr6:coauthVersionMax="47" xr10:uidLastSave="{00000000-0000-0000-0000-000000000000}"/>
  <bookViews>
    <workbookView xWindow="0" yWindow="600" windowWidth="33600" windowHeight="19240" activeTab="4" xr2:uid="{00000000-000D-0000-FFFF-FFFF00000000}"/>
  </bookViews>
  <sheets>
    <sheet name="INPUT DATA" sheetId="1" r:id="rId1"/>
    <sheet name="TERM 1" sheetId="2" r:id="rId2"/>
    <sheet name="TERM 2" sheetId="3" r:id="rId3"/>
    <sheet name="TERM 3" sheetId="4" r:id="rId4"/>
    <sheet name="FINAL GRADES" sheetId="5" r:id="rId5"/>
    <sheet name="HELPER" sheetId="6" r:id="rId6"/>
  </sheets>
  <definedNames>
    <definedName name="_xlnm.Print_Area" localSheetId="4">'FINAL GRADES'!$A$1:$K$81</definedName>
  </definedNames>
  <calcPr calcId="191029"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0" roundtripDataChecksum="aeh1m9G9wQrcWlZdVl3dBNODCXdhc6mR5u6J1EJ98n0="/>
    </ext>
  </extLst>
</workbook>
</file>

<file path=xl/calcChain.xml><?xml version="1.0" encoding="utf-8"?>
<calcChain xmlns="http://schemas.openxmlformats.org/spreadsheetml/2006/main">
  <c r="C114" i="5" l="1"/>
  <c r="C113" i="5"/>
  <c r="C112" i="5"/>
  <c r="C111" i="5"/>
  <c r="C110" i="5"/>
  <c r="C109" i="5"/>
  <c r="C108" i="5"/>
  <c r="C107" i="5"/>
  <c r="C106" i="5"/>
  <c r="C105" i="5"/>
  <c r="C104" i="5"/>
  <c r="C103" i="5"/>
  <c r="C102" i="5"/>
  <c r="C101" i="5"/>
  <c r="C100" i="5"/>
  <c r="C99" i="5"/>
  <c r="C98" i="5"/>
  <c r="C97" i="5"/>
  <c r="C96" i="5"/>
  <c r="C95" i="5"/>
  <c r="C94" i="5"/>
  <c r="C93" i="5"/>
  <c r="C92" i="5"/>
  <c r="C91" i="5"/>
  <c r="C90" i="5"/>
  <c r="C89" i="5"/>
  <c r="C88" i="5"/>
  <c r="C87" i="5"/>
  <c r="C86" i="5"/>
  <c r="C85" i="5"/>
  <c r="C84" i="5"/>
  <c r="C83" i="5"/>
  <c r="C82" i="5"/>
  <c r="C81" i="5"/>
  <c r="C80" i="5"/>
  <c r="C79" i="5"/>
  <c r="C78" i="5"/>
  <c r="C77" i="5"/>
  <c r="C76" i="5"/>
  <c r="C75" i="5"/>
  <c r="C74" i="5"/>
  <c r="C73" i="5"/>
  <c r="C72" i="5"/>
  <c r="C71" i="5"/>
  <c r="C70" i="5"/>
  <c r="C69" i="5"/>
  <c r="C68" i="5"/>
  <c r="C67" i="5"/>
  <c r="C66" i="5"/>
  <c r="C65"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I10" i="5"/>
  <c r="D10" i="5"/>
  <c r="I9" i="5"/>
  <c r="D9" i="5"/>
  <c r="J6" i="5"/>
  <c r="D6" i="5"/>
  <c r="J5" i="5"/>
  <c r="G5" i="5"/>
  <c r="D5" i="5"/>
  <c r="AB118" i="4"/>
  <c r="AC118" i="4" s="1" a="1"/>
  <c r="AC118" i="4" s="1"/>
  <c r="AA118" i="4"/>
  <c r="Z118" i="4"/>
  <c r="Y118" i="4"/>
  <c r="X118" i="4"/>
  <c r="W118" i="4"/>
  <c r="S118" i="4"/>
  <c r="R118" i="4"/>
  <c r="Q118" i="4"/>
  <c r="M118" i="4"/>
  <c r="L118" i="4"/>
  <c r="K118" i="4"/>
  <c r="C118" i="4"/>
  <c r="AC117" i="4" a="1"/>
  <c r="AC117" i="4" s="1"/>
  <c r="H113" i="5" s="1"/>
  <c r="AB117" i="4"/>
  <c r="AA117" i="4"/>
  <c r="Z117" i="4"/>
  <c r="Y117" i="4"/>
  <c r="X117" i="4"/>
  <c r="W117" i="4"/>
  <c r="S117" i="4"/>
  <c r="R117" i="4"/>
  <c r="Q117" i="4"/>
  <c r="M117" i="4"/>
  <c r="L117" i="4"/>
  <c r="K117" i="4"/>
  <c r="C117" i="4"/>
  <c r="AB116" i="4"/>
  <c r="AC116" i="4" s="1" a="1"/>
  <c r="AC116" i="4" s="1"/>
  <c r="AA116" i="4"/>
  <c r="Z116" i="4"/>
  <c r="Y116" i="4"/>
  <c r="X116" i="4"/>
  <c r="W116" i="4"/>
  <c r="S116" i="4"/>
  <c r="R116" i="4"/>
  <c r="Q116" i="4"/>
  <c r="M116" i="4"/>
  <c r="L116" i="4"/>
  <c r="K116" i="4"/>
  <c r="C116" i="4"/>
  <c r="AB115" i="4"/>
  <c r="AC115" i="4" s="1" a="1"/>
  <c r="AC115" i="4" s="1"/>
  <c r="AA115" i="4"/>
  <c r="Z115" i="4"/>
  <c r="Y115" i="4"/>
  <c r="X115" i="4"/>
  <c r="W115" i="4"/>
  <c r="S115" i="4"/>
  <c r="R115" i="4"/>
  <c r="Q115" i="4"/>
  <c r="M115" i="4"/>
  <c r="L115" i="4"/>
  <c r="K115" i="4"/>
  <c r="C115" i="4"/>
  <c r="AB114" i="4"/>
  <c r="AC114" i="4" s="1" a="1"/>
  <c r="AC114" i="4" s="1"/>
  <c r="AA114" i="4"/>
  <c r="Z114" i="4"/>
  <c r="Y114" i="4"/>
  <c r="X114" i="4"/>
  <c r="W114" i="4"/>
  <c r="S114" i="4"/>
  <c r="R114" i="4"/>
  <c r="Q114" i="4"/>
  <c r="M114" i="4"/>
  <c r="L114" i="4"/>
  <c r="K114" i="4"/>
  <c r="C114" i="4"/>
  <c r="AD113" i="4"/>
  <c r="AC113" i="4" a="1"/>
  <c r="AC113" i="4" s="1"/>
  <c r="H109" i="5" s="1"/>
  <c r="AB113" i="4"/>
  <c r="AA113" i="4"/>
  <c r="Z113" i="4"/>
  <c r="Y113" i="4"/>
  <c r="X113" i="4"/>
  <c r="W113" i="4"/>
  <c r="S113" i="4"/>
  <c r="R113" i="4"/>
  <c r="Q113" i="4"/>
  <c r="M113" i="4"/>
  <c r="L113" i="4"/>
  <c r="K113" i="4"/>
  <c r="C113" i="4"/>
  <c r="AB112" i="4"/>
  <c r="AC112" i="4" s="1" a="1"/>
  <c r="AC112" i="4" s="1"/>
  <c r="AA112" i="4"/>
  <c r="Z112" i="4"/>
  <c r="Y112" i="4"/>
  <c r="X112" i="4"/>
  <c r="W112" i="4"/>
  <c r="S112" i="4"/>
  <c r="R112" i="4"/>
  <c r="Q112" i="4"/>
  <c r="M112" i="4"/>
  <c r="L112" i="4"/>
  <c r="K112" i="4"/>
  <c r="C112" i="4"/>
  <c r="AB111" i="4"/>
  <c r="AC111" i="4" s="1" a="1"/>
  <c r="AC111" i="4" s="1"/>
  <c r="AA111" i="4"/>
  <c r="Z111" i="4"/>
  <c r="Y111" i="4"/>
  <c r="X111" i="4"/>
  <c r="W111" i="4"/>
  <c r="S111" i="4"/>
  <c r="R111" i="4"/>
  <c r="Q111" i="4"/>
  <c r="M111" i="4"/>
  <c r="L111" i="4"/>
  <c r="K111" i="4"/>
  <c r="C111" i="4"/>
  <c r="AB110" i="4"/>
  <c r="AC110" i="4" s="1" a="1"/>
  <c r="AC110" i="4" s="1"/>
  <c r="AA110" i="4"/>
  <c r="Z110" i="4"/>
  <c r="Y110" i="4"/>
  <c r="X110" i="4"/>
  <c r="W110" i="4"/>
  <c r="S110" i="4"/>
  <c r="R110" i="4"/>
  <c r="Q110" i="4"/>
  <c r="M110" i="4"/>
  <c r="L110" i="4"/>
  <c r="K110" i="4"/>
  <c r="C110" i="4"/>
  <c r="AB109" i="4"/>
  <c r="AC109" i="4" s="1" a="1"/>
  <c r="AC109" i="4" s="1"/>
  <c r="AA109" i="4"/>
  <c r="Z109" i="4"/>
  <c r="Y109" i="4"/>
  <c r="X109" i="4"/>
  <c r="W109" i="4"/>
  <c r="S109" i="4"/>
  <c r="R109" i="4"/>
  <c r="Q109" i="4"/>
  <c r="M109" i="4"/>
  <c r="L109" i="4"/>
  <c r="K109" i="4"/>
  <c r="C109" i="4"/>
  <c r="AB108" i="4"/>
  <c r="AC108" i="4" s="1" a="1"/>
  <c r="AC108" i="4" s="1"/>
  <c r="AA108" i="4"/>
  <c r="Z108" i="4"/>
  <c r="Y108" i="4"/>
  <c r="X108" i="4"/>
  <c r="W108" i="4"/>
  <c r="S108" i="4"/>
  <c r="R108" i="4"/>
  <c r="Q108" i="4"/>
  <c r="M108" i="4"/>
  <c r="L108" i="4"/>
  <c r="K108" i="4"/>
  <c r="C108" i="4"/>
  <c r="AB107" i="4"/>
  <c r="AC107" i="4" s="1" a="1"/>
  <c r="AC107" i="4" s="1"/>
  <c r="AA107" i="4"/>
  <c r="Z107" i="4"/>
  <c r="Y107" i="4"/>
  <c r="X107" i="4"/>
  <c r="W107" i="4"/>
  <c r="S107" i="4"/>
  <c r="R107" i="4"/>
  <c r="Q107" i="4"/>
  <c r="M107" i="4"/>
  <c r="L107" i="4"/>
  <c r="K107" i="4"/>
  <c r="C107" i="4"/>
  <c r="AB106" i="4"/>
  <c r="AC106" i="4" s="1" a="1"/>
  <c r="AC106" i="4" s="1"/>
  <c r="AA106" i="4"/>
  <c r="Z106" i="4"/>
  <c r="Y106" i="4"/>
  <c r="X106" i="4"/>
  <c r="W106" i="4"/>
  <c r="S106" i="4"/>
  <c r="R106" i="4"/>
  <c r="Q106" i="4"/>
  <c r="M106" i="4"/>
  <c r="L106" i="4"/>
  <c r="K106" i="4"/>
  <c r="C106" i="4"/>
  <c r="AB105" i="4"/>
  <c r="AC105" i="4" s="1" a="1"/>
  <c r="AC105" i="4" s="1"/>
  <c r="AA105" i="4"/>
  <c r="Z105" i="4"/>
  <c r="Y105" i="4"/>
  <c r="X105" i="4"/>
  <c r="W105" i="4"/>
  <c r="S105" i="4"/>
  <c r="R105" i="4"/>
  <c r="Q105" i="4"/>
  <c r="M105" i="4"/>
  <c r="L105" i="4"/>
  <c r="K105" i="4"/>
  <c r="C105" i="4"/>
  <c r="AB104" i="4"/>
  <c r="AC104" i="4" s="1" a="1"/>
  <c r="AC104" i="4" s="1"/>
  <c r="AA104" i="4"/>
  <c r="Z104" i="4"/>
  <c r="Y104" i="4"/>
  <c r="X104" i="4"/>
  <c r="W104" i="4"/>
  <c r="S104" i="4"/>
  <c r="R104" i="4"/>
  <c r="Q104" i="4"/>
  <c r="M104" i="4"/>
  <c r="L104" i="4"/>
  <c r="K104" i="4"/>
  <c r="C104" i="4"/>
  <c r="AB103" i="4"/>
  <c r="AC103" i="4" s="1" a="1"/>
  <c r="AC103" i="4" s="1"/>
  <c r="AA103" i="4"/>
  <c r="Z103" i="4"/>
  <c r="Y103" i="4"/>
  <c r="X103" i="4"/>
  <c r="W103" i="4"/>
  <c r="S103" i="4"/>
  <c r="R103" i="4"/>
  <c r="Q103" i="4"/>
  <c r="M103" i="4"/>
  <c r="L103" i="4"/>
  <c r="K103" i="4"/>
  <c r="C103" i="4"/>
  <c r="AB102" i="4"/>
  <c r="AC102" i="4" s="1" a="1"/>
  <c r="AC102" i="4" s="1"/>
  <c r="AA102" i="4"/>
  <c r="Z102" i="4"/>
  <c r="Y102" i="4"/>
  <c r="X102" i="4"/>
  <c r="W102" i="4"/>
  <c r="S102" i="4"/>
  <c r="R102" i="4"/>
  <c r="Q102" i="4"/>
  <c r="M102" i="4"/>
  <c r="L102" i="4"/>
  <c r="K102" i="4"/>
  <c r="C102" i="4"/>
  <c r="AB101" i="4"/>
  <c r="AC101" i="4" s="1" a="1"/>
  <c r="AC101" i="4" s="1"/>
  <c r="AA101" i="4"/>
  <c r="Z101" i="4"/>
  <c r="Y101" i="4"/>
  <c r="X101" i="4"/>
  <c r="W101" i="4"/>
  <c r="S101" i="4"/>
  <c r="R101" i="4"/>
  <c r="Q101" i="4"/>
  <c r="M101" i="4"/>
  <c r="L101" i="4"/>
  <c r="K101" i="4"/>
  <c r="C101" i="4"/>
  <c r="AB100" i="4"/>
  <c r="AC100" i="4" s="1" a="1"/>
  <c r="AC100" i="4" s="1"/>
  <c r="AA100" i="4"/>
  <c r="Z100" i="4"/>
  <c r="Y100" i="4"/>
  <c r="X100" i="4"/>
  <c r="W100" i="4"/>
  <c r="S100" i="4"/>
  <c r="R100" i="4"/>
  <c r="Q100" i="4"/>
  <c r="M100" i="4"/>
  <c r="L100" i="4"/>
  <c r="K100" i="4"/>
  <c r="C100" i="4"/>
  <c r="AB99" i="4"/>
  <c r="AC99" i="4" s="1" a="1"/>
  <c r="AC99" i="4" s="1"/>
  <c r="AA99" i="4"/>
  <c r="Z99" i="4"/>
  <c r="Y99" i="4"/>
  <c r="X99" i="4"/>
  <c r="W99" i="4"/>
  <c r="S99" i="4"/>
  <c r="R99" i="4"/>
  <c r="Q99" i="4"/>
  <c r="M99" i="4"/>
  <c r="L99" i="4"/>
  <c r="K99" i="4"/>
  <c r="C99" i="4"/>
  <c r="AB98" i="4"/>
  <c r="AC98" i="4" s="1" a="1"/>
  <c r="AC98" i="4" s="1"/>
  <c r="AA98" i="4"/>
  <c r="Z98" i="4"/>
  <c r="Y98" i="4"/>
  <c r="X98" i="4"/>
  <c r="W98" i="4"/>
  <c r="S98" i="4"/>
  <c r="R98" i="4"/>
  <c r="Q98" i="4"/>
  <c r="M98" i="4"/>
  <c r="L98" i="4"/>
  <c r="K98" i="4"/>
  <c r="C98" i="4"/>
  <c r="AB97" i="4"/>
  <c r="AC97" i="4" s="1" a="1"/>
  <c r="AC97" i="4" s="1"/>
  <c r="AA97" i="4"/>
  <c r="Z97" i="4"/>
  <c r="Y97" i="4"/>
  <c r="X97" i="4"/>
  <c r="W97" i="4"/>
  <c r="S97" i="4"/>
  <c r="R97" i="4"/>
  <c r="Q97" i="4"/>
  <c r="M97" i="4"/>
  <c r="L97" i="4"/>
  <c r="K97" i="4"/>
  <c r="C97" i="4"/>
  <c r="AB96" i="4"/>
  <c r="AC96" i="4" s="1" a="1"/>
  <c r="AC96" i="4" s="1"/>
  <c r="AA96" i="4"/>
  <c r="Z96" i="4"/>
  <c r="Y96" i="4"/>
  <c r="X96" i="4"/>
  <c r="W96" i="4"/>
  <c r="S96" i="4"/>
  <c r="R96" i="4"/>
  <c r="Q96" i="4"/>
  <c r="M96" i="4"/>
  <c r="L96" i="4"/>
  <c r="K96" i="4"/>
  <c r="C96" i="4"/>
  <c r="AB95" i="4"/>
  <c r="AC95" i="4" s="1" a="1"/>
  <c r="AC95" i="4" s="1"/>
  <c r="AA95" i="4"/>
  <c r="Z95" i="4"/>
  <c r="Y95" i="4"/>
  <c r="X95" i="4"/>
  <c r="W95" i="4"/>
  <c r="S95" i="4"/>
  <c r="R95" i="4"/>
  <c r="Q95" i="4"/>
  <c r="M95" i="4"/>
  <c r="L95" i="4"/>
  <c r="K95" i="4"/>
  <c r="C95" i="4"/>
  <c r="AB94" i="4"/>
  <c r="AC94" i="4" s="1" a="1"/>
  <c r="AC94" i="4" s="1"/>
  <c r="AA94" i="4"/>
  <c r="Z94" i="4"/>
  <c r="Y94" i="4"/>
  <c r="X94" i="4"/>
  <c r="W94" i="4"/>
  <c r="S94" i="4"/>
  <c r="R94" i="4"/>
  <c r="Q94" i="4"/>
  <c r="M94" i="4"/>
  <c r="L94" i="4"/>
  <c r="K94" i="4"/>
  <c r="C94" i="4"/>
  <c r="AB93" i="4"/>
  <c r="AC93" i="4" s="1" a="1"/>
  <c r="AC93" i="4" s="1"/>
  <c r="AA93" i="4"/>
  <c r="Z93" i="4"/>
  <c r="Y93" i="4"/>
  <c r="X93" i="4"/>
  <c r="W93" i="4"/>
  <c r="S93" i="4"/>
  <c r="R93" i="4"/>
  <c r="Q93" i="4"/>
  <c r="M93" i="4"/>
  <c r="L93" i="4"/>
  <c r="K93" i="4"/>
  <c r="C93" i="4"/>
  <c r="AB92" i="4"/>
  <c r="AC92" i="4" s="1" a="1"/>
  <c r="AC92" i="4" s="1"/>
  <c r="AA92" i="4"/>
  <c r="Z92" i="4"/>
  <c r="Y92" i="4"/>
  <c r="X92" i="4"/>
  <c r="W92" i="4"/>
  <c r="S92" i="4"/>
  <c r="R92" i="4"/>
  <c r="Q92" i="4"/>
  <c r="M92" i="4"/>
  <c r="L92" i="4"/>
  <c r="K92" i="4"/>
  <c r="C92" i="4"/>
  <c r="AB91" i="4"/>
  <c r="AC91" i="4" s="1" a="1"/>
  <c r="AC91" i="4" s="1"/>
  <c r="AA91" i="4"/>
  <c r="Z91" i="4"/>
  <c r="Y91" i="4"/>
  <c r="X91" i="4"/>
  <c r="W91" i="4"/>
  <c r="S91" i="4"/>
  <c r="R91" i="4"/>
  <c r="Q91" i="4"/>
  <c r="M91" i="4"/>
  <c r="L91" i="4"/>
  <c r="K91" i="4"/>
  <c r="C91" i="4"/>
  <c r="AB90" i="4"/>
  <c r="AC90" i="4" s="1" a="1"/>
  <c r="AC90" i="4" s="1"/>
  <c r="AA90" i="4"/>
  <c r="Z90" i="4"/>
  <c r="Y90" i="4"/>
  <c r="X90" i="4"/>
  <c r="W90" i="4"/>
  <c r="S90" i="4"/>
  <c r="R90" i="4"/>
  <c r="Q90" i="4"/>
  <c r="M90" i="4"/>
  <c r="L90" i="4"/>
  <c r="K90" i="4"/>
  <c r="C90" i="4"/>
  <c r="AB89" i="4"/>
  <c r="AC89" i="4" s="1" a="1"/>
  <c r="AC89" i="4" s="1"/>
  <c r="AA89" i="4"/>
  <c r="Z89" i="4"/>
  <c r="Y89" i="4"/>
  <c r="X89" i="4"/>
  <c r="W89" i="4"/>
  <c r="S89" i="4"/>
  <c r="R89" i="4"/>
  <c r="Q89" i="4"/>
  <c r="M89" i="4"/>
  <c r="L89" i="4"/>
  <c r="K89" i="4"/>
  <c r="C89" i="4"/>
  <c r="AB88" i="4"/>
  <c r="AC88" i="4" s="1" a="1"/>
  <c r="AC88" i="4" s="1"/>
  <c r="AA88" i="4"/>
  <c r="Z88" i="4"/>
  <c r="Y88" i="4"/>
  <c r="X88" i="4"/>
  <c r="W88" i="4"/>
  <c r="S88" i="4"/>
  <c r="R88" i="4"/>
  <c r="Q88" i="4"/>
  <c r="M88" i="4"/>
  <c r="L88" i="4"/>
  <c r="K88" i="4"/>
  <c r="C88" i="4"/>
  <c r="AB87" i="4"/>
  <c r="AC87" i="4" s="1" a="1"/>
  <c r="AC87" i="4" s="1"/>
  <c r="AA87" i="4"/>
  <c r="Z87" i="4"/>
  <c r="Y87" i="4"/>
  <c r="X87" i="4"/>
  <c r="W87" i="4"/>
  <c r="S87" i="4"/>
  <c r="R87" i="4"/>
  <c r="Q87" i="4"/>
  <c r="M87" i="4"/>
  <c r="L87" i="4"/>
  <c r="K87" i="4"/>
  <c r="C87" i="4"/>
  <c r="AB86" i="4"/>
  <c r="AC86" i="4" s="1" a="1"/>
  <c r="AC86" i="4" s="1"/>
  <c r="AA86" i="4"/>
  <c r="Z86" i="4"/>
  <c r="Y86" i="4"/>
  <c r="X86" i="4"/>
  <c r="W86" i="4"/>
  <c r="S86" i="4"/>
  <c r="R86" i="4"/>
  <c r="Q86" i="4"/>
  <c r="M86" i="4"/>
  <c r="L86" i="4"/>
  <c r="K86" i="4"/>
  <c r="C86" i="4"/>
  <c r="AB85" i="4"/>
  <c r="AC85" i="4" s="1" a="1"/>
  <c r="AC85" i="4" s="1"/>
  <c r="AA85" i="4"/>
  <c r="Z85" i="4"/>
  <c r="Y85" i="4"/>
  <c r="X85" i="4"/>
  <c r="W85" i="4"/>
  <c r="S85" i="4"/>
  <c r="R85" i="4"/>
  <c r="Q85" i="4"/>
  <c r="M85" i="4"/>
  <c r="L85" i="4"/>
  <c r="K85" i="4"/>
  <c r="C85" i="4"/>
  <c r="AB84" i="4"/>
  <c r="AC84" i="4" s="1" a="1"/>
  <c r="AC84" i="4" s="1"/>
  <c r="AA84" i="4"/>
  <c r="Z84" i="4"/>
  <c r="Y84" i="4"/>
  <c r="X84" i="4"/>
  <c r="W84" i="4"/>
  <c r="S84" i="4"/>
  <c r="R84" i="4"/>
  <c r="Q84" i="4"/>
  <c r="M84" i="4"/>
  <c r="L84" i="4"/>
  <c r="K84" i="4"/>
  <c r="C84" i="4"/>
  <c r="AB83" i="4"/>
  <c r="AC83" i="4" s="1" a="1"/>
  <c r="AC83" i="4" s="1"/>
  <c r="AA83" i="4"/>
  <c r="Z83" i="4"/>
  <c r="Y83" i="4"/>
  <c r="X83" i="4"/>
  <c r="W83" i="4"/>
  <c r="S83" i="4"/>
  <c r="R83" i="4"/>
  <c r="Q83" i="4"/>
  <c r="M83" i="4"/>
  <c r="L83" i="4"/>
  <c r="K83" i="4"/>
  <c r="C83" i="4"/>
  <c r="AB82" i="4"/>
  <c r="AC82" i="4" s="1" a="1"/>
  <c r="AC82" i="4" s="1"/>
  <c r="AA82" i="4"/>
  <c r="Z82" i="4"/>
  <c r="Y82" i="4"/>
  <c r="X82" i="4"/>
  <c r="W82" i="4"/>
  <c r="S82" i="4"/>
  <c r="R82" i="4"/>
  <c r="Q82" i="4"/>
  <c r="M82" i="4"/>
  <c r="L82" i="4"/>
  <c r="K82" i="4"/>
  <c r="C82" i="4"/>
  <c r="AB81" i="4"/>
  <c r="AC81" i="4" s="1" a="1"/>
  <c r="AC81" i="4" s="1"/>
  <c r="AA81" i="4"/>
  <c r="Z81" i="4"/>
  <c r="Y81" i="4"/>
  <c r="X81" i="4"/>
  <c r="W81" i="4"/>
  <c r="S81" i="4"/>
  <c r="R81" i="4"/>
  <c r="Q81" i="4"/>
  <c r="M81" i="4"/>
  <c r="L81" i="4"/>
  <c r="K81" i="4"/>
  <c r="C81" i="4"/>
  <c r="AB80" i="4"/>
  <c r="AC80" i="4" s="1" a="1"/>
  <c r="AC80" i="4" s="1"/>
  <c r="AA80" i="4"/>
  <c r="Z80" i="4"/>
  <c r="Y80" i="4"/>
  <c r="X80" i="4"/>
  <c r="W80" i="4"/>
  <c r="S80" i="4"/>
  <c r="R80" i="4"/>
  <c r="Q80" i="4"/>
  <c r="M80" i="4"/>
  <c r="L80" i="4"/>
  <c r="K80" i="4"/>
  <c r="C80" i="4"/>
  <c r="AB79" i="4"/>
  <c r="AC79" i="4" s="1" a="1"/>
  <c r="AC79" i="4" s="1"/>
  <c r="AA79" i="4"/>
  <c r="Z79" i="4"/>
  <c r="Y79" i="4"/>
  <c r="X79" i="4"/>
  <c r="W79" i="4"/>
  <c r="S79" i="4"/>
  <c r="R79" i="4"/>
  <c r="Q79" i="4"/>
  <c r="M79" i="4"/>
  <c r="L79" i="4"/>
  <c r="K79" i="4"/>
  <c r="C79" i="4"/>
  <c r="AB78" i="4"/>
  <c r="AC78" i="4" s="1" a="1"/>
  <c r="AC78" i="4" s="1"/>
  <c r="AA78" i="4"/>
  <c r="Z78" i="4"/>
  <c r="Y78" i="4"/>
  <c r="X78" i="4"/>
  <c r="W78" i="4"/>
  <c r="S78" i="4"/>
  <c r="R78" i="4"/>
  <c r="Q78" i="4"/>
  <c r="M78" i="4"/>
  <c r="L78" i="4"/>
  <c r="K78" i="4"/>
  <c r="C78" i="4"/>
  <c r="AB77" i="4"/>
  <c r="AC77" i="4" s="1" a="1"/>
  <c r="AC77" i="4" s="1"/>
  <c r="AA77" i="4"/>
  <c r="Z77" i="4"/>
  <c r="Y77" i="4"/>
  <c r="X77" i="4"/>
  <c r="W77" i="4"/>
  <c r="S77" i="4"/>
  <c r="R77" i="4"/>
  <c r="Q77" i="4"/>
  <c r="M77" i="4"/>
  <c r="L77" i="4"/>
  <c r="K77" i="4"/>
  <c r="C77" i="4"/>
  <c r="AB76" i="4"/>
  <c r="AC76" i="4" s="1" a="1"/>
  <c r="AC76" i="4" s="1"/>
  <c r="AA76" i="4"/>
  <c r="Z76" i="4"/>
  <c r="Y76" i="4"/>
  <c r="X76" i="4"/>
  <c r="W76" i="4"/>
  <c r="S76" i="4"/>
  <c r="R76" i="4"/>
  <c r="Q76" i="4"/>
  <c r="M76" i="4"/>
  <c r="L76" i="4"/>
  <c r="K76" i="4"/>
  <c r="C76" i="4"/>
  <c r="AB75" i="4"/>
  <c r="AC75" i="4" s="1" a="1"/>
  <c r="AC75" i="4" s="1"/>
  <c r="AA75" i="4"/>
  <c r="Z75" i="4"/>
  <c r="Y75" i="4"/>
  <c r="X75" i="4"/>
  <c r="W75" i="4"/>
  <c r="S75" i="4"/>
  <c r="R75" i="4"/>
  <c r="Q75" i="4"/>
  <c r="M75" i="4"/>
  <c r="L75" i="4"/>
  <c r="K75" i="4"/>
  <c r="C75" i="4"/>
  <c r="AB74" i="4"/>
  <c r="AC74" i="4" s="1" a="1"/>
  <c r="AC74" i="4" s="1"/>
  <c r="AA74" i="4"/>
  <c r="Z74" i="4"/>
  <c r="Y74" i="4"/>
  <c r="X74" i="4"/>
  <c r="W74" i="4"/>
  <c r="S74" i="4"/>
  <c r="R74" i="4"/>
  <c r="Q74" i="4"/>
  <c r="M74" i="4"/>
  <c r="L74" i="4"/>
  <c r="K74" i="4"/>
  <c r="C74" i="4"/>
  <c r="AB73" i="4"/>
  <c r="AC73" i="4" s="1" a="1"/>
  <c r="AC73" i="4" s="1"/>
  <c r="AA73" i="4"/>
  <c r="Z73" i="4"/>
  <c r="Y73" i="4"/>
  <c r="X73" i="4"/>
  <c r="W73" i="4"/>
  <c r="S73" i="4"/>
  <c r="R73" i="4"/>
  <c r="Q73" i="4"/>
  <c r="M73" i="4"/>
  <c r="L73" i="4"/>
  <c r="K73" i="4"/>
  <c r="C73" i="4"/>
  <c r="AB72" i="4"/>
  <c r="AC72" i="4" s="1" a="1"/>
  <c r="AC72" i="4" s="1"/>
  <c r="AA72" i="4"/>
  <c r="Z72" i="4"/>
  <c r="Y72" i="4"/>
  <c r="X72" i="4"/>
  <c r="W72" i="4"/>
  <c r="S72" i="4"/>
  <c r="R72" i="4"/>
  <c r="Q72" i="4"/>
  <c r="M72" i="4"/>
  <c r="L72" i="4"/>
  <c r="K72" i="4"/>
  <c r="C72" i="4"/>
  <c r="AB71" i="4"/>
  <c r="AC71" i="4" s="1" a="1"/>
  <c r="AC71" i="4" s="1"/>
  <c r="AA71" i="4"/>
  <c r="Z71" i="4"/>
  <c r="Y71" i="4"/>
  <c r="X71" i="4"/>
  <c r="W71" i="4"/>
  <c r="S71" i="4"/>
  <c r="R71" i="4"/>
  <c r="Q71" i="4"/>
  <c r="M71" i="4"/>
  <c r="L71" i="4"/>
  <c r="K71" i="4"/>
  <c r="C71" i="4"/>
  <c r="AB70" i="4"/>
  <c r="AC70" i="4" s="1" a="1"/>
  <c r="AC70" i="4" s="1"/>
  <c r="AA70" i="4"/>
  <c r="Z70" i="4"/>
  <c r="Y70" i="4"/>
  <c r="X70" i="4"/>
  <c r="W70" i="4"/>
  <c r="S70" i="4"/>
  <c r="R70" i="4"/>
  <c r="Q70" i="4"/>
  <c r="M70" i="4"/>
  <c r="L70" i="4"/>
  <c r="K70" i="4"/>
  <c r="C70" i="4"/>
  <c r="AB69" i="4"/>
  <c r="AC69" i="4" s="1" a="1"/>
  <c r="AC69" i="4" s="1"/>
  <c r="AA69" i="4"/>
  <c r="Z69" i="4"/>
  <c r="Y69" i="4"/>
  <c r="X69" i="4"/>
  <c r="W69" i="4"/>
  <c r="S69" i="4"/>
  <c r="R69" i="4"/>
  <c r="Q69" i="4"/>
  <c r="M69" i="4"/>
  <c r="L69" i="4"/>
  <c r="K69" i="4"/>
  <c r="C69" i="4"/>
  <c r="AB67" i="4"/>
  <c r="AC67" i="4" s="1" a="1"/>
  <c r="AC67" i="4" s="1"/>
  <c r="AA67" i="4"/>
  <c r="Z67" i="4"/>
  <c r="Y67" i="4"/>
  <c r="X67" i="4"/>
  <c r="W67" i="4"/>
  <c r="S67" i="4"/>
  <c r="R67" i="4"/>
  <c r="Q67" i="4"/>
  <c r="M67" i="4"/>
  <c r="L67" i="4"/>
  <c r="K67" i="4"/>
  <c r="C67" i="4"/>
  <c r="AB66" i="4"/>
  <c r="AC66" i="4" s="1" a="1"/>
  <c r="AC66" i="4" s="1"/>
  <c r="AA66" i="4"/>
  <c r="Z66" i="4"/>
  <c r="Y66" i="4"/>
  <c r="X66" i="4"/>
  <c r="W66" i="4"/>
  <c r="S66" i="4"/>
  <c r="R66" i="4"/>
  <c r="Q66" i="4"/>
  <c r="M66" i="4"/>
  <c r="L66" i="4"/>
  <c r="K66" i="4"/>
  <c r="C66" i="4"/>
  <c r="AB65" i="4"/>
  <c r="AC65" i="4" s="1" a="1"/>
  <c r="AC65" i="4" s="1"/>
  <c r="AA65" i="4"/>
  <c r="Z65" i="4"/>
  <c r="Y65" i="4"/>
  <c r="X65" i="4"/>
  <c r="W65" i="4"/>
  <c r="S65" i="4"/>
  <c r="R65" i="4"/>
  <c r="Q65" i="4"/>
  <c r="M65" i="4"/>
  <c r="L65" i="4"/>
  <c r="K65" i="4"/>
  <c r="C65" i="4"/>
  <c r="AB64" i="4"/>
  <c r="AC64" i="4" s="1" a="1"/>
  <c r="AC64" i="4" s="1"/>
  <c r="AA64" i="4"/>
  <c r="Z64" i="4"/>
  <c r="Y64" i="4"/>
  <c r="X64" i="4"/>
  <c r="W64" i="4"/>
  <c r="S64" i="4"/>
  <c r="R64" i="4"/>
  <c r="Q64" i="4"/>
  <c r="M64" i="4"/>
  <c r="L64" i="4"/>
  <c r="K64" i="4"/>
  <c r="C64" i="4"/>
  <c r="AB63" i="4"/>
  <c r="AC63" i="4" s="1" a="1"/>
  <c r="AC63" i="4" s="1"/>
  <c r="AA63" i="4"/>
  <c r="Z63" i="4"/>
  <c r="Y63" i="4"/>
  <c r="X63" i="4"/>
  <c r="W63" i="4"/>
  <c r="S63" i="4"/>
  <c r="R63" i="4"/>
  <c r="Q63" i="4"/>
  <c r="M63" i="4"/>
  <c r="L63" i="4"/>
  <c r="K63" i="4"/>
  <c r="C63" i="4"/>
  <c r="AB62" i="4"/>
  <c r="AC62" i="4" s="1" a="1"/>
  <c r="AC62" i="4" s="1"/>
  <c r="AA62" i="4"/>
  <c r="Z62" i="4"/>
  <c r="Y62" i="4"/>
  <c r="X62" i="4"/>
  <c r="W62" i="4"/>
  <c r="S62" i="4"/>
  <c r="R62" i="4"/>
  <c r="Q62" i="4"/>
  <c r="M62" i="4"/>
  <c r="L62" i="4"/>
  <c r="K62" i="4"/>
  <c r="C62" i="4"/>
  <c r="AB61" i="4"/>
  <c r="AC61" i="4" s="1" a="1"/>
  <c r="AC61" i="4" s="1"/>
  <c r="AA61" i="4"/>
  <c r="Z61" i="4"/>
  <c r="Y61" i="4"/>
  <c r="X61" i="4"/>
  <c r="W61" i="4"/>
  <c r="S61" i="4"/>
  <c r="R61" i="4"/>
  <c r="Q61" i="4"/>
  <c r="M61" i="4"/>
  <c r="L61" i="4"/>
  <c r="K61" i="4"/>
  <c r="C61" i="4"/>
  <c r="AB60" i="4"/>
  <c r="AC60" i="4" s="1" a="1"/>
  <c r="AC60" i="4" s="1"/>
  <c r="AA60" i="4"/>
  <c r="Z60" i="4"/>
  <c r="Y60" i="4"/>
  <c r="X60" i="4"/>
  <c r="W60" i="4"/>
  <c r="S60" i="4"/>
  <c r="R60" i="4"/>
  <c r="Q60" i="4"/>
  <c r="M60" i="4"/>
  <c r="L60" i="4"/>
  <c r="K60" i="4"/>
  <c r="C60" i="4"/>
  <c r="AB59" i="4"/>
  <c r="AC59" i="4" s="1" a="1"/>
  <c r="AC59" i="4" s="1"/>
  <c r="AA59" i="4"/>
  <c r="Z59" i="4"/>
  <c r="Y59" i="4"/>
  <c r="X59" i="4"/>
  <c r="W59" i="4"/>
  <c r="S59" i="4"/>
  <c r="R59" i="4"/>
  <c r="Q59" i="4"/>
  <c r="M59" i="4"/>
  <c r="L59" i="4"/>
  <c r="K59" i="4"/>
  <c r="C59" i="4"/>
  <c r="AB58" i="4"/>
  <c r="AC58" i="4" s="1" a="1"/>
  <c r="AC58" i="4" s="1"/>
  <c r="AA58" i="4"/>
  <c r="Z58" i="4"/>
  <c r="Y58" i="4"/>
  <c r="X58" i="4"/>
  <c r="W58" i="4"/>
  <c r="S58" i="4"/>
  <c r="R58" i="4"/>
  <c r="Q58" i="4"/>
  <c r="M58" i="4"/>
  <c r="L58" i="4"/>
  <c r="K58" i="4"/>
  <c r="C58" i="4"/>
  <c r="AB57" i="4"/>
  <c r="AC57" i="4" s="1" a="1"/>
  <c r="AC57" i="4" s="1"/>
  <c r="AA57" i="4"/>
  <c r="Z57" i="4"/>
  <c r="Y57" i="4"/>
  <c r="X57" i="4"/>
  <c r="W57" i="4"/>
  <c r="S57" i="4"/>
  <c r="R57" i="4"/>
  <c r="Q57" i="4"/>
  <c r="M57" i="4"/>
  <c r="L57" i="4"/>
  <c r="K57" i="4"/>
  <c r="C57" i="4"/>
  <c r="AB56" i="4"/>
  <c r="AC56" i="4" s="1" a="1"/>
  <c r="AC56" i="4" s="1"/>
  <c r="AA56" i="4"/>
  <c r="Z56" i="4"/>
  <c r="Y56" i="4"/>
  <c r="X56" i="4"/>
  <c r="W56" i="4"/>
  <c r="S56" i="4"/>
  <c r="R56" i="4"/>
  <c r="Q56" i="4"/>
  <c r="M56" i="4"/>
  <c r="L56" i="4"/>
  <c r="K56" i="4"/>
  <c r="C56" i="4"/>
  <c r="AB55" i="4"/>
  <c r="AC55" i="4" s="1" a="1"/>
  <c r="AC55" i="4" s="1"/>
  <c r="Z55" i="4"/>
  <c r="AA55" i="4" s="1"/>
  <c r="Y55" i="4"/>
  <c r="X55" i="4"/>
  <c r="W55" i="4"/>
  <c r="S55" i="4"/>
  <c r="R55" i="4"/>
  <c r="Q55" i="4"/>
  <c r="L55" i="4"/>
  <c r="M55" i="4" s="1"/>
  <c r="K55" i="4"/>
  <c r="C55" i="4"/>
  <c r="AB54" i="4"/>
  <c r="AC54" i="4" s="1" a="1"/>
  <c r="AC54" i="4" s="1"/>
  <c r="Z54" i="4"/>
  <c r="AA54" i="4" s="1"/>
  <c r="Y54" i="4"/>
  <c r="X54" i="4"/>
  <c r="W54" i="4"/>
  <c r="S54" i="4"/>
  <c r="R54" i="4"/>
  <c r="Q54" i="4"/>
  <c r="L54" i="4"/>
  <c r="M54" i="4" s="1"/>
  <c r="K54" i="4"/>
  <c r="C54" i="4"/>
  <c r="AB53" i="4"/>
  <c r="AC53" i="4" s="1" a="1"/>
  <c r="AC53" i="4" s="1"/>
  <c r="Z53" i="4"/>
  <c r="AA53" i="4" s="1"/>
  <c r="Y53" i="4"/>
  <c r="X53" i="4"/>
  <c r="W53" i="4"/>
  <c r="S53" i="4"/>
  <c r="R53" i="4"/>
  <c r="Q53" i="4"/>
  <c r="L53" i="4"/>
  <c r="M53" i="4" s="1"/>
  <c r="K53" i="4"/>
  <c r="C53" i="4"/>
  <c r="AB52" i="4"/>
  <c r="AC52" i="4" s="1" a="1"/>
  <c r="AC52" i="4" s="1"/>
  <c r="Z52" i="4"/>
  <c r="AA52" i="4" s="1"/>
  <c r="Y52" i="4"/>
  <c r="X52" i="4"/>
  <c r="W52" i="4"/>
  <c r="S52" i="4"/>
  <c r="R52" i="4"/>
  <c r="Q52" i="4"/>
  <c r="L52" i="4"/>
  <c r="M52" i="4" s="1"/>
  <c r="K52" i="4"/>
  <c r="C52" i="4"/>
  <c r="AB51" i="4"/>
  <c r="AC51" i="4" s="1" a="1"/>
  <c r="AC51" i="4" s="1"/>
  <c r="Z51" i="4"/>
  <c r="AA51" i="4" s="1"/>
  <c r="Y51" i="4"/>
  <c r="X51" i="4"/>
  <c r="W51" i="4"/>
  <c r="S51" i="4"/>
  <c r="R51" i="4"/>
  <c r="Q51" i="4"/>
  <c r="L51" i="4"/>
  <c r="M51" i="4" s="1"/>
  <c r="K51" i="4"/>
  <c r="C51" i="4"/>
  <c r="AB50" i="4"/>
  <c r="AC50" i="4" s="1" a="1"/>
  <c r="AC50" i="4" s="1"/>
  <c r="Z50" i="4"/>
  <c r="AA50" i="4" s="1"/>
  <c r="Y50" i="4"/>
  <c r="X50" i="4"/>
  <c r="W50" i="4"/>
  <c r="S50" i="4"/>
  <c r="R50" i="4"/>
  <c r="Q50" i="4"/>
  <c r="L50" i="4"/>
  <c r="M50" i="4" s="1"/>
  <c r="K50" i="4"/>
  <c r="C50" i="4"/>
  <c r="AB49" i="4"/>
  <c r="AC49" i="4" s="1" a="1"/>
  <c r="AC49" i="4" s="1"/>
  <c r="Z49" i="4"/>
  <c r="AA49" i="4" s="1"/>
  <c r="Y49" i="4"/>
  <c r="X49" i="4"/>
  <c r="W49" i="4"/>
  <c r="S49" i="4"/>
  <c r="R49" i="4"/>
  <c r="Q49" i="4"/>
  <c r="L49" i="4"/>
  <c r="M49" i="4" s="1"/>
  <c r="K49" i="4"/>
  <c r="C49" i="4"/>
  <c r="AB48" i="4"/>
  <c r="AC48" i="4" s="1" a="1"/>
  <c r="AC48" i="4" s="1"/>
  <c r="Z48" i="4"/>
  <c r="AA48" i="4" s="1"/>
  <c r="Y48" i="4"/>
  <c r="X48" i="4"/>
  <c r="W48" i="4"/>
  <c r="S48" i="4"/>
  <c r="R48" i="4"/>
  <c r="Q48" i="4"/>
  <c r="L48" i="4"/>
  <c r="M48" i="4" s="1"/>
  <c r="K48" i="4"/>
  <c r="C48" i="4"/>
  <c r="AB47" i="4"/>
  <c r="AC47" i="4" s="1" a="1"/>
  <c r="AC47" i="4" s="1"/>
  <c r="Z47" i="4"/>
  <c r="AA47" i="4" s="1"/>
  <c r="Y47" i="4"/>
  <c r="X47" i="4"/>
  <c r="W47" i="4"/>
  <c r="S47" i="4"/>
  <c r="R47" i="4"/>
  <c r="Q47" i="4"/>
  <c r="L47" i="4"/>
  <c r="M47" i="4" s="1"/>
  <c r="K47" i="4"/>
  <c r="C47" i="4"/>
  <c r="AB46" i="4"/>
  <c r="AC46" i="4" s="1" a="1"/>
  <c r="AC46" i="4" s="1"/>
  <c r="Z46" i="4"/>
  <c r="AA46" i="4" s="1"/>
  <c r="Y46" i="4"/>
  <c r="X46" i="4"/>
  <c r="W46" i="4"/>
  <c r="S46" i="4"/>
  <c r="R46" i="4"/>
  <c r="Q46" i="4"/>
  <c r="L46" i="4"/>
  <c r="M46" i="4" s="1"/>
  <c r="K46" i="4"/>
  <c r="C46" i="4"/>
  <c r="AB45" i="4"/>
  <c r="AC45" i="4" s="1" a="1"/>
  <c r="AC45" i="4" s="1"/>
  <c r="Z45" i="4"/>
  <c r="AA45" i="4" s="1"/>
  <c r="Y45" i="4"/>
  <c r="X45" i="4"/>
  <c r="W45" i="4"/>
  <c r="S45" i="4"/>
  <c r="R45" i="4"/>
  <c r="Q45" i="4"/>
  <c r="L45" i="4"/>
  <c r="M45" i="4" s="1"/>
  <c r="K45" i="4"/>
  <c r="C45" i="4"/>
  <c r="AB44" i="4"/>
  <c r="AC44" i="4" s="1" a="1"/>
  <c r="AC44" i="4" s="1"/>
  <c r="Z44" i="4"/>
  <c r="AA44" i="4" s="1"/>
  <c r="Y44" i="4"/>
  <c r="X44" i="4"/>
  <c r="W44" i="4"/>
  <c r="S44" i="4"/>
  <c r="R44" i="4"/>
  <c r="Q44" i="4"/>
  <c r="L44" i="4"/>
  <c r="M44" i="4" s="1"/>
  <c r="K44" i="4"/>
  <c r="C44" i="4"/>
  <c r="AB43" i="4"/>
  <c r="AC43" i="4" s="1" a="1"/>
  <c r="AC43" i="4" s="1"/>
  <c r="Z43" i="4"/>
  <c r="AA43" i="4" s="1"/>
  <c r="Y43" i="4"/>
  <c r="X43" i="4"/>
  <c r="W43" i="4"/>
  <c r="S43" i="4"/>
  <c r="R43" i="4"/>
  <c r="Q43" i="4"/>
  <c r="L43" i="4"/>
  <c r="M43" i="4" s="1"/>
  <c r="K43" i="4"/>
  <c r="C43" i="4"/>
  <c r="AB42" i="4"/>
  <c r="AC42" i="4" s="1" a="1"/>
  <c r="AC42" i="4" s="1"/>
  <c r="Z42" i="4"/>
  <c r="AA42" i="4" s="1"/>
  <c r="Y42" i="4"/>
  <c r="X42" i="4"/>
  <c r="W42" i="4"/>
  <c r="S42" i="4"/>
  <c r="R42" i="4"/>
  <c r="Q42" i="4"/>
  <c r="L42" i="4"/>
  <c r="M42" i="4" s="1"/>
  <c r="K42" i="4"/>
  <c r="C42" i="4"/>
  <c r="AB41" i="4"/>
  <c r="AC41" i="4" s="1" a="1"/>
  <c r="AC41" i="4" s="1"/>
  <c r="Z41" i="4"/>
  <c r="AA41" i="4" s="1"/>
  <c r="Y41" i="4"/>
  <c r="X41" i="4"/>
  <c r="W41" i="4"/>
  <c r="S41" i="4"/>
  <c r="R41" i="4"/>
  <c r="Q41" i="4"/>
  <c r="L41" i="4"/>
  <c r="M41" i="4" s="1"/>
  <c r="K41" i="4"/>
  <c r="C41" i="4"/>
  <c r="AB40" i="4"/>
  <c r="AC40" i="4" s="1" a="1"/>
  <c r="AC40" i="4" s="1"/>
  <c r="Z40" i="4"/>
  <c r="AA40" i="4" s="1"/>
  <c r="Y40" i="4"/>
  <c r="X40" i="4"/>
  <c r="W40" i="4"/>
  <c r="S40" i="4"/>
  <c r="R40" i="4"/>
  <c r="Q40" i="4"/>
  <c r="L40" i="4"/>
  <c r="M40" i="4" s="1"/>
  <c r="K40" i="4"/>
  <c r="C40" i="4"/>
  <c r="AB39" i="4"/>
  <c r="AC39" i="4" s="1" a="1"/>
  <c r="AC39" i="4" s="1"/>
  <c r="Z39" i="4"/>
  <c r="AA39" i="4" s="1"/>
  <c r="Y39" i="4"/>
  <c r="X39" i="4"/>
  <c r="W39" i="4"/>
  <c r="S39" i="4"/>
  <c r="R39" i="4"/>
  <c r="Q39" i="4"/>
  <c r="L39" i="4"/>
  <c r="M39" i="4" s="1"/>
  <c r="K39" i="4"/>
  <c r="C39" i="4"/>
  <c r="AB38" i="4"/>
  <c r="AC38" i="4" s="1" a="1"/>
  <c r="AC38" i="4" s="1"/>
  <c r="Z38" i="4"/>
  <c r="AA38" i="4" s="1"/>
  <c r="Y38" i="4"/>
  <c r="X38" i="4"/>
  <c r="W38" i="4"/>
  <c r="S38" i="4"/>
  <c r="R38" i="4"/>
  <c r="Q38" i="4"/>
  <c r="L38" i="4"/>
  <c r="M38" i="4" s="1"/>
  <c r="K38" i="4"/>
  <c r="C38" i="4"/>
  <c r="AB37" i="4"/>
  <c r="AC37" i="4" s="1" a="1"/>
  <c r="AC37" i="4" s="1"/>
  <c r="Z37" i="4"/>
  <c r="AA37" i="4" s="1"/>
  <c r="Y37" i="4"/>
  <c r="X37" i="4"/>
  <c r="W37" i="4"/>
  <c r="S37" i="4"/>
  <c r="R37" i="4"/>
  <c r="Q37" i="4"/>
  <c r="L37" i="4"/>
  <c r="M37" i="4" s="1"/>
  <c r="K37" i="4"/>
  <c r="C37" i="4"/>
  <c r="AB36" i="4"/>
  <c r="AC36" i="4" s="1" a="1"/>
  <c r="AC36" i="4" s="1"/>
  <c r="Z36" i="4"/>
  <c r="AA36" i="4" s="1"/>
  <c r="Y36" i="4"/>
  <c r="X36" i="4"/>
  <c r="W36" i="4"/>
  <c r="S36" i="4"/>
  <c r="R36" i="4"/>
  <c r="Q36" i="4"/>
  <c r="L36" i="4"/>
  <c r="M36" i="4" s="1"/>
  <c r="K36" i="4"/>
  <c r="C36" i="4"/>
  <c r="AB35" i="4"/>
  <c r="AC35" i="4" s="1" a="1"/>
  <c r="AC35" i="4" s="1"/>
  <c r="AA35" i="4"/>
  <c r="Z35" i="4"/>
  <c r="Y35" i="4"/>
  <c r="X35" i="4"/>
  <c r="W35" i="4"/>
  <c r="R35" i="4"/>
  <c r="S35" i="4" s="1"/>
  <c r="Q35" i="4"/>
  <c r="L35" i="4"/>
  <c r="M35" i="4" s="1"/>
  <c r="K35" i="4"/>
  <c r="C35" i="4"/>
  <c r="AB34" i="4"/>
  <c r="AC34" i="4" s="1" a="1"/>
  <c r="AC34" i="4" s="1"/>
  <c r="Z34" i="4"/>
  <c r="AA34" i="4" s="1"/>
  <c r="Y34" i="4"/>
  <c r="X34" i="4"/>
  <c r="W34" i="4"/>
  <c r="R34" i="4"/>
  <c r="S34" i="4" s="1"/>
  <c r="Q34" i="4"/>
  <c r="L34" i="4"/>
  <c r="M34" i="4" s="1"/>
  <c r="K34" i="4"/>
  <c r="C34" i="4"/>
  <c r="AC33" i="4" a="1"/>
  <c r="AC33" i="4" s="1"/>
  <c r="AB33" i="4"/>
  <c r="Z33" i="4"/>
  <c r="AA33" i="4" s="1"/>
  <c r="Y33" i="4"/>
  <c r="X33" i="4"/>
  <c r="W33" i="4"/>
  <c r="S33" i="4"/>
  <c r="R33" i="4"/>
  <c r="Q33" i="4"/>
  <c r="L33" i="4"/>
  <c r="M33" i="4" s="1"/>
  <c r="K33" i="4"/>
  <c r="C33" i="4"/>
  <c r="AC32" i="4" a="1"/>
  <c r="AC32" i="4"/>
  <c r="AB32" i="4"/>
  <c r="Z32" i="4"/>
  <c r="AA32" i="4" s="1"/>
  <c r="Y32" i="4"/>
  <c r="X32" i="4"/>
  <c r="W32" i="4"/>
  <c r="R32" i="4"/>
  <c r="S32" i="4" s="1"/>
  <c r="Q32" i="4"/>
  <c r="L32" i="4"/>
  <c r="M32" i="4" s="1"/>
  <c r="K32" i="4"/>
  <c r="C32" i="4"/>
  <c r="AB31" i="4"/>
  <c r="AC31" i="4" s="1" a="1"/>
  <c r="AC31" i="4" s="1"/>
  <c r="Z31" i="4"/>
  <c r="AA31" i="4" s="1"/>
  <c r="Y31" i="4"/>
  <c r="X31" i="4"/>
  <c r="W31" i="4"/>
  <c r="S31" i="4"/>
  <c r="R31" i="4"/>
  <c r="Q31" i="4"/>
  <c r="L31" i="4"/>
  <c r="M31" i="4" s="1"/>
  <c r="K31" i="4"/>
  <c r="C31" i="4"/>
  <c r="AC30" i="4" a="1"/>
  <c r="AC30" i="4"/>
  <c r="AB30" i="4"/>
  <c r="AA30" i="4"/>
  <c r="Z30" i="4"/>
  <c r="Y30" i="4"/>
  <c r="X30" i="4"/>
  <c r="W30" i="4"/>
  <c r="R30" i="4"/>
  <c r="S30" i="4" s="1"/>
  <c r="Q30" i="4"/>
  <c r="M30" i="4"/>
  <c r="L30" i="4"/>
  <c r="K30" i="4"/>
  <c r="C30" i="4"/>
  <c r="AB29" i="4"/>
  <c r="AC29" i="4" s="1" a="1"/>
  <c r="AC29" i="4" s="1"/>
  <c r="Z29" i="4"/>
  <c r="AA29" i="4" s="1"/>
  <c r="Y29" i="4"/>
  <c r="X29" i="4"/>
  <c r="W29" i="4"/>
  <c r="R29" i="4"/>
  <c r="S29" i="4" s="1"/>
  <c r="Q29" i="4"/>
  <c r="L29" i="4"/>
  <c r="M29" i="4" s="1"/>
  <c r="K29" i="4"/>
  <c r="C29" i="4"/>
  <c r="AC28" i="4" a="1"/>
  <c r="AC28" i="4"/>
  <c r="AB28" i="4"/>
  <c r="Z28" i="4"/>
  <c r="AA28" i="4" s="1"/>
  <c r="Y28" i="4"/>
  <c r="X28" i="4"/>
  <c r="W28" i="4"/>
  <c r="R28" i="4"/>
  <c r="S28" i="4" s="1"/>
  <c r="Q28" i="4"/>
  <c r="L28" i="4"/>
  <c r="M28" i="4" s="1"/>
  <c r="K28" i="4"/>
  <c r="C28" i="4"/>
  <c r="AC27" i="4" a="1"/>
  <c r="AC27" i="4"/>
  <c r="AB27" i="4"/>
  <c r="Z27" i="4"/>
  <c r="AA27" i="4" s="1"/>
  <c r="Y27" i="4"/>
  <c r="X27" i="4"/>
  <c r="W27" i="4"/>
  <c r="R27" i="4"/>
  <c r="S27" i="4" s="1"/>
  <c r="Q27" i="4"/>
  <c r="L27" i="4"/>
  <c r="M27" i="4" s="1"/>
  <c r="K27" i="4"/>
  <c r="C27" i="4"/>
  <c r="AB26" i="4"/>
  <c r="AC26" i="4" s="1" a="1"/>
  <c r="AC26" i="4" s="1"/>
  <c r="Z26" i="4"/>
  <c r="AA26" i="4" s="1"/>
  <c r="Y26" i="4"/>
  <c r="X26" i="4"/>
  <c r="W26" i="4"/>
  <c r="S26" i="4"/>
  <c r="R26" i="4"/>
  <c r="Q26" i="4"/>
  <c r="L26" i="4"/>
  <c r="M26" i="4" s="1"/>
  <c r="K26" i="4"/>
  <c r="C26" i="4"/>
  <c r="AB25" i="4"/>
  <c r="AC25" i="4" s="1" a="1"/>
  <c r="AC25" i="4" s="1"/>
  <c r="Z25" i="4"/>
  <c r="AA25" i="4" s="1"/>
  <c r="Y25" i="4"/>
  <c r="X25" i="4"/>
  <c r="W25" i="4"/>
  <c r="S25" i="4"/>
  <c r="R25" i="4"/>
  <c r="Q25" i="4"/>
  <c r="L25" i="4"/>
  <c r="M25" i="4" s="1"/>
  <c r="K25" i="4"/>
  <c r="C25" i="4"/>
  <c r="AB24" i="4"/>
  <c r="AC24" i="4" s="1" a="1"/>
  <c r="AC24" i="4" s="1"/>
  <c r="Z24" i="4"/>
  <c r="AA24" i="4" s="1"/>
  <c r="Y24" i="4"/>
  <c r="X24" i="4"/>
  <c r="W24" i="4"/>
  <c r="R24" i="4"/>
  <c r="S24" i="4" s="1"/>
  <c r="Q24" i="4"/>
  <c r="L24" i="4"/>
  <c r="M24" i="4" s="1"/>
  <c r="K24" i="4"/>
  <c r="C24" i="4"/>
  <c r="AC23" i="4" a="1"/>
  <c r="AC23" i="4" s="1"/>
  <c r="AB23" i="4"/>
  <c r="Z23" i="4"/>
  <c r="AA23" i="4" s="1"/>
  <c r="Y23" i="4"/>
  <c r="X23" i="4"/>
  <c r="W23" i="4"/>
  <c r="R23" i="4"/>
  <c r="S23" i="4" s="1"/>
  <c r="Q23" i="4"/>
  <c r="L23" i="4"/>
  <c r="M23" i="4" s="1"/>
  <c r="K23" i="4"/>
  <c r="C23" i="4"/>
  <c r="AC22" i="4" a="1"/>
  <c r="AC22" i="4" s="1"/>
  <c r="AB22" i="4"/>
  <c r="Z22" i="4"/>
  <c r="AA22" i="4" s="1"/>
  <c r="Y22" i="4"/>
  <c r="X22" i="4"/>
  <c r="W22" i="4"/>
  <c r="R22" i="4"/>
  <c r="S22" i="4" s="1"/>
  <c r="Q22" i="4"/>
  <c r="L22" i="4"/>
  <c r="M22" i="4" s="1"/>
  <c r="K22" i="4"/>
  <c r="C22" i="4"/>
  <c r="AB21" i="4"/>
  <c r="AC21" i="4" s="1" a="1"/>
  <c r="AC21" i="4" s="1"/>
  <c r="Z21" i="4"/>
  <c r="AA21" i="4" s="1"/>
  <c r="Y21" i="4"/>
  <c r="X21" i="4"/>
  <c r="W21" i="4"/>
  <c r="R21" i="4"/>
  <c r="S21" i="4" s="1"/>
  <c r="Q21" i="4"/>
  <c r="L21" i="4"/>
  <c r="M21" i="4" s="1"/>
  <c r="K21" i="4"/>
  <c r="C21" i="4"/>
  <c r="AC20" i="4" a="1"/>
  <c r="AC20" i="4"/>
  <c r="AB20" i="4"/>
  <c r="Z20" i="4"/>
  <c r="AA20" i="4" s="1"/>
  <c r="Y20" i="4"/>
  <c r="X20" i="4"/>
  <c r="W20" i="4"/>
  <c r="R20" i="4"/>
  <c r="S20" i="4" s="1"/>
  <c r="Q20" i="4"/>
  <c r="L20" i="4"/>
  <c r="M20" i="4" s="1"/>
  <c r="K20" i="4"/>
  <c r="C20" i="4"/>
  <c r="AC19" i="4" a="1"/>
  <c r="AC19" i="4"/>
  <c r="AB19" i="4"/>
  <c r="Z19" i="4"/>
  <c r="AA19" i="4" s="1"/>
  <c r="Y19" i="4"/>
  <c r="X19" i="4"/>
  <c r="W19" i="4"/>
  <c r="R19" i="4"/>
  <c r="S19" i="4" s="1"/>
  <c r="Q19" i="4"/>
  <c r="L19" i="4"/>
  <c r="M19" i="4" s="1"/>
  <c r="K19" i="4"/>
  <c r="C19" i="4"/>
  <c r="AB18" i="4"/>
  <c r="AC18" i="4" s="1" a="1"/>
  <c r="AC18" i="4" s="1"/>
  <c r="Z18" i="4"/>
  <c r="AA18" i="4" s="1"/>
  <c r="Y18" i="4"/>
  <c r="X18" i="4"/>
  <c r="W18" i="4"/>
  <c r="S18" i="4"/>
  <c r="R18" i="4"/>
  <c r="Q18" i="4"/>
  <c r="L18" i="4"/>
  <c r="M18" i="4" s="1"/>
  <c r="K18" i="4"/>
  <c r="C18" i="4"/>
  <c r="Q15" i="4"/>
  <c r="K15" i="4"/>
  <c r="J11" i="4"/>
  <c r="AA10" i="4"/>
  <c r="Q10" i="4"/>
  <c r="J10" i="4"/>
  <c r="Z7" i="4"/>
  <c r="F7" i="4"/>
  <c r="Z5" i="4"/>
  <c r="R5" i="4"/>
  <c r="F5" i="4"/>
  <c r="AC118" i="3" a="1"/>
  <c r="AC118" i="3"/>
  <c r="G114" i="5" s="1"/>
  <c r="AB118" i="3"/>
  <c r="Z118" i="3"/>
  <c r="AA118" i="3" s="1"/>
  <c r="Y118" i="3"/>
  <c r="X118" i="3"/>
  <c r="W118" i="3"/>
  <c r="S118" i="3"/>
  <c r="R118" i="3"/>
  <c r="Q118" i="3"/>
  <c r="L118" i="3"/>
  <c r="M118" i="3" s="1"/>
  <c r="K118" i="3"/>
  <c r="C118" i="3"/>
  <c r="AC117" i="3" a="1"/>
  <c r="AC117" i="3" s="1"/>
  <c r="AB117" i="3"/>
  <c r="Z117" i="3"/>
  <c r="AA117" i="3" s="1"/>
  <c r="Y117" i="3"/>
  <c r="X117" i="3"/>
  <c r="W117" i="3"/>
  <c r="R117" i="3"/>
  <c r="S117" i="3" s="1"/>
  <c r="Q117" i="3"/>
  <c r="L117" i="3"/>
  <c r="M117" i="3" s="1"/>
  <c r="K117" i="3"/>
  <c r="C117" i="3"/>
  <c r="AC116" i="3" a="1"/>
  <c r="AC116" i="3"/>
  <c r="AB116" i="3"/>
  <c r="Z116" i="3"/>
  <c r="AA116" i="3" s="1"/>
  <c r="Y116" i="3"/>
  <c r="X116" i="3"/>
  <c r="W116" i="3"/>
  <c r="R116" i="3"/>
  <c r="S116" i="3" s="1"/>
  <c r="Q116" i="3"/>
  <c r="L116" i="3"/>
  <c r="M116" i="3" s="1"/>
  <c r="K116" i="3"/>
  <c r="C116" i="3"/>
  <c r="AD115" i="3"/>
  <c r="AC115" i="3" a="1"/>
  <c r="AC115" i="3"/>
  <c r="G111" i="5" s="1"/>
  <c r="AB115" i="3"/>
  <c r="Z115" i="3"/>
  <c r="AA115" i="3" s="1"/>
  <c r="Y115" i="3"/>
  <c r="X115" i="3"/>
  <c r="W115" i="3"/>
  <c r="S115" i="3"/>
  <c r="R115" i="3"/>
  <c r="Q115" i="3"/>
  <c r="L115" i="3"/>
  <c r="M115" i="3" s="1"/>
  <c r="K115" i="3"/>
  <c r="C115" i="3"/>
  <c r="AD114" i="3"/>
  <c r="AC114" i="3" a="1"/>
  <c r="AC114" i="3"/>
  <c r="G110" i="5" s="1"/>
  <c r="AB114" i="3"/>
  <c r="Z114" i="3"/>
  <c r="AA114" i="3" s="1"/>
  <c r="Y114" i="3"/>
  <c r="X114" i="3"/>
  <c r="W114" i="3"/>
  <c r="S114" i="3"/>
  <c r="R114" i="3"/>
  <c r="Q114" i="3"/>
  <c r="L114" i="3"/>
  <c r="M114" i="3" s="1"/>
  <c r="K114" i="3"/>
  <c r="C114" i="3"/>
  <c r="AD113" i="3"/>
  <c r="AC113" i="3" a="1"/>
  <c r="AC113" i="3"/>
  <c r="G109" i="5" s="1"/>
  <c r="AB113" i="3"/>
  <c r="Z113" i="3"/>
  <c r="AA113" i="3" s="1"/>
  <c r="Y113" i="3"/>
  <c r="X113" i="3"/>
  <c r="W113" i="3"/>
  <c r="S113" i="3"/>
  <c r="R113" i="3"/>
  <c r="Q113" i="3"/>
  <c r="L113" i="3"/>
  <c r="M113" i="3" s="1"/>
  <c r="K113" i="3"/>
  <c r="C113" i="3"/>
  <c r="AC112" i="3" a="1"/>
  <c r="AC112" i="3"/>
  <c r="AB112" i="3"/>
  <c r="Z112" i="3"/>
  <c r="AA112" i="3" s="1"/>
  <c r="Y112" i="3"/>
  <c r="X112" i="3"/>
  <c r="W112" i="3"/>
  <c r="R112" i="3"/>
  <c r="S112" i="3" s="1"/>
  <c r="Q112" i="3"/>
  <c r="L112" i="3"/>
  <c r="M112" i="3" s="1"/>
  <c r="K112" i="3"/>
  <c r="C112" i="3"/>
  <c r="AD111" i="3"/>
  <c r="AC111" i="3" a="1"/>
  <c r="AC111" i="3"/>
  <c r="G107" i="5" s="1"/>
  <c r="AB111" i="3"/>
  <c r="Z111" i="3"/>
  <c r="AA111" i="3" s="1"/>
  <c r="Y111" i="3"/>
  <c r="X111" i="3"/>
  <c r="W111" i="3"/>
  <c r="S111" i="3"/>
  <c r="R111" i="3"/>
  <c r="Q111" i="3"/>
  <c r="L111" i="3"/>
  <c r="M111" i="3" s="1"/>
  <c r="K111" i="3"/>
  <c r="C111" i="3"/>
  <c r="AD110" i="3"/>
  <c r="AC110" i="3" a="1"/>
  <c r="AC110" i="3"/>
  <c r="G106" i="5" s="1"/>
  <c r="AB110" i="3"/>
  <c r="Z110" i="3"/>
  <c r="AA110" i="3" s="1"/>
  <c r="Y110" i="3"/>
  <c r="X110" i="3"/>
  <c r="W110" i="3"/>
  <c r="S110" i="3"/>
  <c r="R110" i="3"/>
  <c r="Q110" i="3"/>
  <c r="L110" i="3"/>
  <c r="M110" i="3" s="1"/>
  <c r="K110" i="3"/>
  <c r="C110" i="3"/>
  <c r="AC109" i="3" a="1"/>
  <c r="AC109" i="3"/>
  <c r="AB109" i="3"/>
  <c r="Z109" i="3"/>
  <c r="AA109" i="3" s="1"/>
  <c r="Y109" i="3"/>
  <c r="X109" i="3"/>
  <c r="W109" i="3"/>
  <c r="R109" i="3"/>
  <c r="S109" i="3" s="1"/>
  <c r="Q109" i="3"/>
  <c r="L109" i="3"/>
  <c r="M109" i="3" s="1"/>
  <c r="K109" i="3"/>
  <c r="C109" i="3"/>
  <c r="AC108" i="3" a="1"/>
  <c r="AC108" i="3"/>
  <c r="AB108" i="3"/>
  <c r="Z108" i="3"/>
  <c r="AA108" i="3" s="1"/>
  <c r="Y108" i="3"/>
  <c r="X108" i="3"/>
  <c r="W108" i="3"/>
  <c r="R108" i="3"/>
  <c r="S108" i="3" s="1"/>
  <c r="Q108" i="3"/>
  <c r="L108" i="3"/>
  <c r="M108" i="3" s="1"/>
  <c r="K108" i="3"/>
  <c r="C108" i="3"/>
  <c r="AD107" i="3"/>
  <c r="AC107" i="3" a="1"/>
  <c r="AC107" i="3"/>
  <c r="G103" i="5" s="1"/>
  <c r="AB107" i="3"/>
  <c r="Z107" i="3"/>
  <c r="AA107" i="3" s="1"/>
  <c r="Y107" i="3"/>
  <c r="X107" i="3"/>
  <c r="W107" i="3"/>
  <c r="S107" i="3"/>
  <c r="R107" i="3"/>
  <c r="Q107" i="3"/>
  <c r="L107" i="3"/>
  <c r="M107" i="3" s="1"/>
  <c r="K107" i="3"/>
  <c r="C107" i="3"/>
  <c r="AC106" i="3" a="1"/>
  <c r="AC106" i="3"/>
  <c r="AB106" i="3"/>
  <c r="Z106" i="3"/>
  <c r="AA106" i="3" s="1"/>
  <c r="Y106" i="3"/>
  <c r="X106" i="3"/>
  <c r="W106" i="3"/>
  <c r="S106" i="3"/>
  <c r="R106" i="3"/>
  <c r="Q106" i="3"/>
  <c r="L106" i="3"/>
  <c r="M106" i="3" s="1"/>
  <c r="K106" i="3"/>
  <c r="C106" i="3"/>
  <c r="AC105" i="3" a="1"/>
  <c r="AC105" i="3"/>
  <c r="G101" i="5" s="1"/>
  <c r="AB105" i="3"/>
  <c r="Z105" i="3"/>
  <c r="AA105" i="3" s="1"/>
  <c r="Y105" i="3"/>
  <c r="X105" i="3"/>
  <c r="W105" i="3"/>
  <c r="R105" i="3"/>
  <c r="S105" i="3" s="1"/>
  <c r="Q105" i="3"/>
  <c r="L105" i="3"/>
  <c r="M105" i="3" s="1"/>
  <c r="K105" i="3"/>
  <c r="C105" i="3"/>
  <c r="AC104" i="3" a="1"/>
  <c r="AC104" i="3"/>
  <c r="AB104" i="3"/>
  <c r="AA104" i="3"/>
  <c r="Z104" i="3"/>
  <c r="Y104" i="3"/>
  <c r="X104" i="3"/>
  <c r="W104" i="3"/>
  <c r="R104" i="3"/>
  <c r="S104" i="3" s="1"/>
  <c r="Q104" i="3"/>
  <c r="M104" i="3"/>
  <c r="L104" i="3"/>
  <c r="K104" i="3"/>
  <c r="C104" i="3"/>
  <c r="AC103" i="3" a="1"/>
  <c r="AC103" i="3"/>
  <c r="AB103" i="3"/>
  <c r="AA103" i="3"/>
  <c r="Z103" i="3"/>
  <c r="Y103" i="3"/>
  <c r="X103" i="3"/>
  <c r="W103" i="3"/>
  <c r="R103" i="3"/>
  <c r="S103" i="3" s="1"/>
  <c r="Q103" i="3"/>
  <c r="M103" i="3"/>
  <c r="L103" i="3"/>
  <c r="K103" i="3"/>
  <c r="C103" i="3"/>
  <c r="AC102" i="3" a="1"/>
  <c r="AC102" i="3"/>
  <c r="AB102" i="3"/>
  <c r="AA102" i="3"/>
  <c r="Z102" i="3"/>
  <c r="Y102" i="3"/>
  <c r="X102" i="3"/>
  <c r="W102" i="3"/>
  <c r="R102" i="3"/>
  <c r="S102" i="3" s="1"/>
  <c r="Q102" i="3"/>
  <c r="M102" i="3"/>
  <c r="L102" i="3"/>
  <c r="K102" i="3"/>
  <c r="C102" i="3"/>
  <c r="AC101" i="3" a="1"/>
  <c r="AC101" i="3"/>
  <c r="AB101" i="3"/>
  <c r="AA101" i="3"/>
  <c r="Z101" i="3"/>
  <c r="Y101" i="3"/>
  <c r="X101" i="3"/>
  <c r="W101" i="3"/>
  <c r="R101" i="3"/>
  <c r="S101" i="3" s="1"/>
  <c r="Q101" i="3"/>
  <c r="M101" i="3"/>
  <c r="L101" i="3"/>
  <c r="K101" i="3"/>
  <c r="C101" i="3"/>
  <c r="AC100" i="3" a="1"/>
  <c r="AC100" i="3"/>
  <c r="AB100" i="3"/>
  <c r="AA100" i="3"/>
  <c r="Z100" i="3"/>
  <c r="Y100" i="3"/>
  <c r="X100" i="3"/>
  <c r="W100" i="3"/>
  <c r="R100" i="3"/>
  <c r="S100" i="3" s="1"/>
  <c r="Q100" i="3"/>
  <c r="M100" i="3"/>
  <c r="L100" i="3"/>
  <c r="K100" i="3"/>
  <c r="C100" i="3"/>
  <c r="AC99" i="3" a="1"/>
  <c r="AC99" i="3"/>
  <c r="AB99" i="3"/>
  <c r="AA99" i="3"/>
  <c r="Z99" i="3"/>
  <c r="Y99" i="3"/>
  <c r="X99" i="3"/>
  <c r="W99" i="3"/>
  <c r="R99" i="3"/>
  <c r="S99" i="3" s="1"/>
  <c r="Q99" i="3"/>
  <c r="M99" i="3"/>
  <c r="L99" i="3"/>
  <c r="K99" i="3"/>
  <c r="C99" i="3"/>
  <c r="AC98" i="3" a="1"/>
  <c r="AC98" i="3"/>
  <c r="AB98" i="3"/>
  <c r="AA98" i="3"/>
  <c r="Z98" i="3"/>
  <c r="Y98" i="3"/>
  <c r="X98" i="3"/>
  <c r="W98" i="3"/>
  <c r="R98" i="3"/>
  <c r="S98" i="3" s="1"/>
  <c r="Q98" i="3"/>
  <c r="M98" i="3"/>
  <c r="L98" i="3"/>
  <c r="K98" i="3"/>
  <c r="C98" i="3"/>
  <c r="AC97" i="3" a="1"/>
  <c r="AC97" i="3"/>
  <c r="AB97" i="3"/>
  <c r="AA97" i="3"/>
  <c r="Z97" i="3"/>
  <c r="Y97" i="3"/>
  <c r="X97" i="3"/>
  <c r="W97" i="3"/>
  <c r="R97" i="3"/>
  <c r="S97" i="3" s="1"/>
  <c r="Q97" i="3"/>
  <c r="M97" i="3"/>
  <c r="L97" i="3"/>
  <c r="K97" i="3"/>
  <c r="C97" i="3"/>
  <c r="AC96" i="3" a="1"/>
  <c r="AC96" i="3"/>
  <c r="AB96" i="3"/>
  <c r="AA96" i="3"/>
  <c r="Z96" i="3"/>
  <c r="Y96" i="3"/>
  <c r="X96" i="3"/>
  <c r="W96" i="3"/>
  <c r="R96" i="3"/>
  <c r="S96" i="3" s="1"/>
  <c r="Q96" i="3"/>
  <c r="M96" i="3"/>
  <c r="L96" i="3"/>
  <c r="K96" i="3"/>
  <c r="C96" i="3"/>
  <c r="AC95" i="3" a="1"/>
  <c r="AC95" i="3"/>
  <c r="AB95" i="3"/>
  <c r="AA95" i="3"/>
  <c r="Z95" i="3"/>
  <c r="Y95" i="3"/>
  <c r="X95" i="3"/>
  <c r="W95" i="3"/>
  <c r="R95" i="3"/>
  <c r="S95" i="3" s="1"/>
  <c r="Q95" i="3"/>
  <c r="M95" i="3"/>
  <c r="L95" i="3"/>
  <c r="K95" i="3"/>
  <c r="C95" i="3"/>
  <c r="AC94" i="3" a="1"/>
  <c r="AC94" i="3"/>
  <c r="AB94" i="3"/>
  <c r="AA94" i="3"/>
  <c r="Z94" i="3"/>
  <c r="Y94" i="3"/>
  <c r="X94" i="3"/>
  <c r="W94" i="3"/>
  <c r="R94" i="3"/>
  <c r="S94" i="3" s="1"/>
  <c r="Q94" i="3"/>
  <c r="M94" i="3"/>
  <c r="L94" i="3"/>
  <c r="K94" i="3"/>
  <c r="C94" i="3"/>
  <c r="AC93" i="3" a="1"/>
  <c r="AC93" i="3"/>
  <c r="AB93" i="3"/>
  <c r="AA93" i="3"/>
  <c r="Z93" i="3"/>
  <c r="Y93" i="3"/>
  <c r="X93" i="3"/>
  <c r="W93" i="3"/>
  <c r="R93" i="3"/>
  <c r="S93" i="3" s="1"/>
  <c r="Q93" i="3"/>
  <c r="M93" i="3"/>
  <c r="L93" i="3"/>
  <c r="K93" i="3"/>
  <c r="C93" i="3"/>
  <c r="AC92" i="3" a="1"/>
  <c r="AC92" i="3"/>
  <c r="AB92" i="3"/>
  <c r="AA92" i="3"/>
  <c r="Z92" i="3"/>
  <c r="Y92" i="3"/>
  <c r="X92" i="3"/>
  <c r="W92" i="3"/>
  <c r="R92" i="3"/>
  <c r="S92" i="3" s="1"/>
  <c r="Q92" i="3"/>
  <c r="M92" i="3"/>
  <c r="L92" i="3"/>
  <c r="K92" i="3"/>
  <c r="C92" i="3"/>
  <c r="AC91" i="3" a="1"/>
  <c r="AC91" i="3"/>
  <c r="AB91" i="3"/>
  <c r="AA91" i="3"/>
  <c r="Z91" i="3"/>
  <c r="Y91" i="3"/>
  <c r="X91" i="3"/>
  <c r="W91" i="3"/>
  <c r="R91" i="3"/>
  <c r="S91" i="3" s="1"/>
  <c r="Q91" i="3"/>
  <c r="M91" i="3"/>
  <c r="L91" i="3"/>
  <c r="K91" i="3"/>
  <c r="C91" i="3"/>
  <c r="AC90" i="3" a="1"/>
  <c r="AC90" i="3"/>
  <c r="AB90" i="3"/>
  <c r="AA90" i="3"/>
  <c r="Z90" i="3"/>
  <c r="Y90" i="3"/>
  <c r="X90" i="3"/>
  <c r="W90" i="3"/>
  <c r="R90" i="3"/>
  <c r="S90" i="3" s="1"/>
  <c r="Q90" i="3"/>
  <c r="M90" i="3"/>
  <c r="L90" i="3"/>
  <c r="K90" i="3"/>
  <c r="C90" i="3"/>
  <c r="AC89" i="3" a="1"/>
  <c r="AC89" i="3"/>
  <c r="AB89" i="3"/>
  <c r="AA89" i="3"/>
  <c r="Z89" i="3"/>
  <c r="Y89" i="3"/>
  <c r="X89" i="3"/>
  <c r="W89" i="3"/>
  <c r="R89" i="3"/>
  <c r="S89" i="3" s="1"/>
  <c r="Q89" i="3"/>
  <c r="M89" i="3"/>
  <c r="L89" i="3"/>
  <c r="K89" i="3"/>
  <c r="C89" i="3"/>
  <c r="AC88" i="3" a="1"/>
  <c r="AC88" i="3"/>
  <c r="AB88" i="3"/>
  <c r="AA88" i="3"/>
  <c r="Z88" i="3"/>
  <c r="Y88" i="3"/>
  <c r="X88" i="3"/>
  <c r="W88" i="3"/>
  <c r="R88" i="3"/>
  <c r="S88" i="3" s="1"/>
  <c r="Q88" i="3"/>
  <c r="M88" i="3"/>
  <c r="L88" i="3"/>
  <c r="K88" i="3"/>
  <c r="C88" i="3"/>
  <c r="AC87" i="3" a="1"/>
  <c r="AC87" i="3"/>
  <c r="AB87" i="3"/>
  <c r="AA87" i="3"/>
  <c r="Z87" i="3"/>
  <c r="Y87" i="3"/>
  <c r="X87" i="3"/>
  <c r="W87" i="3"/>
  <c r="R87" i="3"/>
  <c r="S87" i="3" s="1"/>
  <c r="Q87" i="3"/>
  <c r="M87" i="3"/>
  <c r="L87" i="3"/>
  <c r="K87" i="3"/>
  <c r="C87" i="3"/>
  <c r="AC86" i="3" a="1"/>
  <c r="AC86" i="3" s="1"/>
  <c r="AB86" i="3"/>
  <c r="AA86" i="3"/>
  <c r="Z86" i="3"/>
  <c r="Y86" i="3"/>
  <c r="X86" i="3"/>
  <c r="W86" i="3"/>
  <c r="S86" i="3"/>
  <c r="R86" i="3"/>
  <c r="Q86" i="3"/>
  <c r="M86" i="3"/>
  <c r="L86" i="3"/>
  <c r="K86" i="3"/>
  <c r="C86" i="3"/>
  <c r="AC85" i="3" a="1"/>
  <c r="AC85" i="3"/>
  <c r="AB85" i="3"/>
  <c r="AA85" i="3"/>
  <c r="Z85" i="3"/>
  <c r="Y85" i="3"/>
  <c r="X85" i="3"/>
  <c r="W85" i="3"/>
  <c r="R85" i="3"/>
  <c r="S85" i="3" s="1"/>
  <c r="Q85" i="3"/>
  <c r="M85" i="3"/>
  <c r="L85" i="3"/>
  <c r="K85" i="3"/>
  <c r="C85" i="3"/>
  <c r="AC84" i="3" a="1"/>
  <c r="AC84" i="3"/>
  <c r="AB84" i="3"/>
  <c r="AA84" i="3"/>
  <c r="Z84" i="3"/>
  <c r="Y84" i="3"/>
  <c r="X84" i="3"/>
  <c r="W84" i="3"/>
  <c r="R84" i="3"/>
  <c r="S84" i="3" s="1"/>
  <c r="Q84" i="3"/>
  <c r="M84" i="3"/>
  <c r="L84" i="3"/>
  <c r="K84" i="3"/>
  <c r="C84" i="3"/>
  <c r="AC83" i="3" a="1"/>
  <c r="AC83" i="3"/>
  <c r="AB83" i="3"/>
  <c r="AA83" i="3"/>
  <c r="Z83" i="3"/>
  <c r="Y83" i="3"/>
  <c r="X83" i="3"/>
  <c r="W83" i="3"/>
  <c r="R83" i="3"/>
  <c r="S83" i="3" s="1"/>
  <c r="Q83" i="3"/>
  <c r="M83" i="3"/>
  <c r="L83" i="3"/>
  <c r="K83" i="3"/>
  <c r="C83" i="3"/>
  <c r="AC82" i="3" a="1"/>
  <c r="AC82" i="3"/>
  <c r="AB82" i="3"/>
  <c r="AA82" i="3"/>
  <c r="Z82" i="3"/>
  <c r="Y82" i="3"/>
  <c r="X82" i="3"/>
  <c r="W82" i="3"/>
  <c r="R82" i="3"/>
  <c r="S82" i="3" s="1"/>
  <c r="Q82" i="3"/>
  <c r="M82" i="3"/>
  <c r="L82" i="3"/>
  <c r="K82" i="3"/>
  <c r="C82" i="3"/>
  <c r="AC81" i="3" a="1"/>
  <c r="AC81" i="3" s="1"/>
  <c r="AB81" i="3"/>
  <c r="AA81" i="3"/>
  <c r="Z81" i="3"/>
  <c r="Y81" i="3"/>
  <c r="X81" i="3"/>
  <c r="W81" i="3"/>
  <c r="S81" i="3"/>
  <c r="R81" i="3"/>
  <c r="Q81" i="3"/>
  <c r="M81" i="3"/>
  <c r="L81" i="3"/>
  <c r="K81" i="3"/>
  <c r="C81" i="3"/>
  <c r="AC80" i="3" a="1"/>
  <c r="AC80" i="3" s="1"/>
  <c r="AB80" i="3"/>
  <c r="AA80" i="3"/>
  <c r="Z80" i="3"/>
  <c r="Y80" i="3"/>
  <c r="X80" i="3"/>
  <c r="W80" i="3"/>
  <c r="S80" i="3"/>
  <c r="R80" i="3"/>
  <c r="Q80" i="3"/>
  <c r="M80" i="3"/>
  <c r="L80" i="3"/>
  <c r="K80" i="3"/>
  <c r="C80" i="3"/>
  <c r="AB79" i="3"/>
  <c r="AC79" i="3" s="1" a="1"/>
  <c r="AC79" i="3" s="1"/>
  <c r="Z79" i="3"/>
  <c r="AA79" i="3" s="1"/>
  <c r="Y79" i="3"/>
  <c r="X79" i="3"/>
  <c r="W79" i="3"/>
  <c r="R79" i="3"/>
  <c r="S79" i="3" s="1"/>
  <c r="Q79" i="3"/>
  <c r="L79" i="3"/>
  <c r="M79" i="3" s="1"/>
  <c r="K79" i="3"/>
  <c r="C79" i="3"/>
  <c r="AC78" i="3" a="1"/>
  <c r="AC78" i="3" s="1"/>
  <c r="AB78" i="3"/>
  <c r="AA78" i="3"/>
  <c r="Z78" i="3"/>
  <c r="Y78" i="3"/>
  <c r="X78" i="3"/>
  <c r="W78" i="3"/>
  <c r="S78" i="3"/>
  <c r="R78" i="3"/>
  <c r="Q78" i="3"/>
  <c r="M78" i="3"/>
  <c r="L78" i="3"/>
  <c r="K78" i="3"/>
  <c r="C78" i="3"/>
  <c r="AC77" i="3" a="1"/>
  <c r="AC77" i="3"/>
  <c r="AB77" i="3"/>
  <c r="Z77" i="3"/>
  <c r="AA77" i="3" s="1"/>
  <c r="Y77" i="3"/>
  <c r="X77" i="3"/>
  <c r="W77" i="3"/>
  <c r="R77" i="3"/>
  <c r="S77" i="3" s="1"/>
  <c r="Q77" i="3"/>
  <c r="M77" i="3"/>
  <c r="L77" i="3"/>
  <c r="K77" i="3"/>
  <c r="C77" i="3"/>
  <c r="AB76" i="3"/>
  <c r="AC76" i="3" s="1" a="1"/>
  <c r="AC76" i="3" s="1"/>
  <c r="Z76" i="3"/>
  <c r="AA76" i="3" s="1"/>
  <c r="Y76" i="3"/>
  <c r="X76" i="3"/>
  <c r="W76" i="3"/>
  <c r="R76" i="3"/>
  <c r="S76" i="3" s="1"/>
  <c r="Q76" i="3"/>
  <c r="L76" i="3"/>
  <c r="M76" i="3" s="1"/>
  <c r="K76" i="3"/>
  <c r="C76" i="3"/>
  <c r="AB75" i="3"/>
  <c r="AC75" i="3" s="1" a="1"/>
  <c r="AC75" i="3" s="1"/>
  <c r="AA75" i="3"/>
  <c r="Z75" i="3"/>
  <c r="Y75" i="3"/>
  <c r="X75" i="3"/>
  <c r="W75" i="3"/>
  <c r="R75" i="3"/>
  <c r="S75" i="3" s="1"/>
  <c r="Q75" i="3"/>
  <c r="M75" i="3"/>
  <c r="L75" i="3"/>
  <c r="K75" i="3"/>
  <c r="C75" i="3"/>
  <c r="AB74" i="3"/>
  <c r="AC74" i="3" s="1" a="1"/>
  <c r="AC74" i="3" s="1"/>
  <c r="Z74" i="3"/>
  <c r="AA74" i="3" s="1"/>
  <c r="Y74" i="3"/>
  <c r="X74" i="3"/>
  <c r="W74" i="3"/>
  <c r="R74" i="3"/>
  <c r="S74" i="3" s="1"/>
  <c r="Q74" i="3"/>
  <c r="L74" i="3"/>
  <c r="M74" i="3" s="1"/>
  <c r="K74" i="3"/>
  <c r="C74" i="3"/>
  <c r="AC73" i="3" a="1"/>
  <c r="AC73" i="3" s="1"/>
  <c r="AB73" i="3"/>
  <c r="Z73" i="3"/>
  <c r="AA73" i="3" s="1"/>
  <c r="Y73" i="3"/>
  <c r="X73" i="3"/>
  <c r="W73" i="3"/>
  <c r="S73" i="3"/>
  <c r="R73" i="3"/>
  <c r="Q73" i="3"/>
  <c r="L73" i="3"/>
  <c r="M73" i="3" s="1"/>
  <c r="K73" i="3"/>
  <c r="C73" i="3"/>
  <c r="AC72" i="3" a="1"/>
  <c r="AC72" i="3" s="1"/>
  <c r="AB72" i="3"/>
  <c r="Z72" i="3"/>
  <c r="AA72" i="3" s="1"/>
  <c r="Y72" i="3"/>
  <c r="X72" i="3"/>
  <c r="W72" i="3"/>
  <c r="R72" i="3"/>
  <c r="S72" i="3" s="1"/>
  <c r="Q72" i="3"/>
  <c r="L72" i="3"/>
  <c r="M72" i="3" s="1"/>
  <c r="K72" i="3"/>
  <c r="C72" i="3"/>
  <c r="AB71" i="3"/>
  <c r="AC71" i="3" s="1" a="1"/>
  <c r="AC71" i="3" s="1"/>
  <c r="Z71" i="3"/>
  <c r="AA71" i="3" s="1"/>
  <c r="Y71" i="3"/>
  <c r="X71" i="3"/>
  <c r="W71" i="3"/>
  <c r="R71" i="3"/>
  <c r="S71" i="3" s="1"/>
  <c r="Q71" i="3"/>
  <c r="L71" i="3"/>
  <c r="M71" i="3" s="1"/>
  <c r="K71" i="3"/>
  <c r="C71" i="3"/>
  <c r="AC70" i="3" a="1"/>
  <c r="AC70" i="3" s="1"/>
  <c r="AB70" i="3"/>
  <c r="AA70" i="3"/>
  <c r="Z70" i="3"/>
  <c r="Y70" i="3"/>
  <c r="X70" i="3"/>
  <c r="W70" i="3"/>
  <c r="S70" i="3"/>
  <c r="R70" i="3"/>
  <c r="Q70" i="3"/>
  <c r="M70" i="3"/>
  <c r="L70" i="3"/>
  <c r="K70" i="3"/>
  <c r="C70" i="3"/>
  <c r="AC69" i="3" a="1"/>
  <c r="AC69" i="3"/>
  <c r="AB69" i="3"/>
  <c r="Z69" i="3"/>
  <c r="AA69" i="3" s="1"/>
  <c r="Y69" i="3"/>
  <c r="X69" i="3"/>
  <c r="W69" i="3"/>
  <c r="R69" i="3"/>
  <c r="S69" i="3" s="1"/>
  <c r="Q69" i="3"/>
  <c r="M69" i="3"/>
  <c r="L69" i="3"/>
  <c r="K69" i="3"/>
  <c r="C69" i="3"/>
  <c r="AB67" i="3"/>
  <c r="AC67" i="3" s="1" a="1"/>
  <c r="AC67" i="3" s="1"/>
  <c r="Z67" i="3"/>
  <c r="AA67" i="3" s="1"/>
  <c r="Y67" i="3"/>
  <c r="X67" i="3"/>
  <c r="W67" i="3"/>
  <c r="R67" i="3"/>
  <c r="S67" i="3" s="1"/>
  <c r="Q67" i="3"/>
  <c r="L67" i="3"/>
  <c r="M67" i="3" s="1"/>
  <c r="K67" i="3"/>
  <c r="C67" i="3"/>
  <c r="AB66" i="3"/>
  <c r="AC66" i="3" s="1" a="1"/>
  <c r="AC66" i="3" s="1"/>
  <c r="AA66" i="3"/>
  <c r="Z66" i="3"/>
  <c r="Y66" i="3"/>
  <c r="X66" i="3"/>
  <c r="W66" i="3"/>
  <c r="R66" i="3"/>
  <c r="S66" i="3" s="1"/>
  <c r="Q66" i="3"/>
  <c r="M66" i="3"/>
  <c r="L66" i="3"/>
  <c r="K66" i="3"/>
  <c r="C66" i="3"/>
  <c r="AB65" i="3"/>
  <c r="AC65" i="3" s="1" a="1"/>
  <c r="AC65" i="3" s="1"/>
  <c r="Z65" i="3"/>
  <c r="AA65" i="3" s="1"/>
  <c r="Y65" i="3"/>
  <c r="X65" i="3"/>
  <c r="W65" i="3"/>
  <c r="R65" i="3"/>
  <c r="S65" i="3" s="1"/>
  <c r="Q65" i="3"/>
  <c r="L65" i="3"/>
  <c r="M65" i="3" s="1"/>
  <c r="K65" i="3"/>
  <c r="C65" i="3"/>
  <c r="AC64" i="3" a="1"/>
  <c r="AC64" i="3" s="1"/>
  <c r="AB64" i="3"/>
  <c r="Z64" i="3"/>
  <c r="AA64" i="3" s="1"/>
  <c r="Y64" i="3"/>
  <c r="X64" i="3"/>
  <c r="W64" i="3"/>
  <c r="S64" i="3"/>
  <c r="R64" i="3"/>
  <c r="Q64" i="3"/>
  <c r="L64" i="3"/>
  <c r="M64" i="3" s="1"/>
  <c r="K64" i="3"/>
  <c r="C64" i="3"/>
  <c r="AC63" i="3" a="1"/>
  <c r="AC63" i="3" s="1"/>
  <c r="AB63" i="3"/>
  <c r="Z63" i="3"/>
  <c r="AA63" i="3" s="1"/>
  <c r="Y63" i="3"/>
  <c r="X63" i="3"/>
  <c r="W63" i="3"/>
  <c r="R63" i="3"/>
  <c r="S63" i="3" s="1"/>
  <c r="Q63" i="3"/>
  <c r="L63" i="3"/>
  <c r="M63" i="3" s="1"/>
  <c r="K63" i="3"/>
  <c r="C63" i="3"/>
  <c r="AB62" i="3"/>
  <c r="AC62" i="3" s="1" a="1"/>
  <c r="AC62" i="3" s="1"/>
  <c r="Z62" i="3"/>
  <c r="AA62" i="3" s="1"/>
  <c r="Y62" i="3"/>
  <c r="X62" i="3"/>
  <c r="W62" i="3"/>
  <c r="R62" i="3"/>
  <c r="S62" i="3" s="1"/>
  <c r="Q62" i="3"/>
  <c r="L62" i="3"/>
  <c r="M62" i="3" s="1"/>
  <c r="K62" i="3"/>
  <c r="C62" i="3"/>
  <c r="AC61" i="3" a="1"/>
  <c r="AC61" i="3" s="1"/>
  <c r="AB61" i="3"/>
  <c r="AA61" i="3"/>
  <c r="Z61" i="3"/>
  <c r="Y61" i="3"/>
  <c r="X61" i="3"/>
  <c r="W61" i="3"/>
  <c r="S61" i="3"/>
  <c r="R61" i="3"/>
  <c r="Q61" i="3"/>
  <c r="M61" i="3"/>
  <c r="L61" i="3"/>
  <c r="K61" i="3"/>
  <c r="C61" i="3"/>
  <c r="AC60" i="3" a="1"/>
  <c r="AC60" i="3"/>
  <c r="AB60" i="3"/>
  <c r="Z60" i="3"/>
  <c r="AA60" i="3" s="1"/>
  <c r="Y60" i="3"/>
  <c r="X60" i="3"/>
  <c r="W60" i="3"/>
  <c r="R60" i="3"/>
  <c r="S60" i="3" s="1"/>
  <c r="Q60" i="3"/>
  <c r="M60" i="3"/>
  <c r="L60" i="3"/>
  <c r="K60" i="3"/>
  <c r="C60" i="3"/>
  <c r="AB59" i="3"/>
  <c r="AC59" i="3" s="1" a="1"/>
  <c r="AC59" i="3" s="1"/>
  <c r="Z59" i="3"/>
  <c r="AA59" i="3" s="1"/>
  <c r="Y59" i="3"/>
  <c r="X59" i="3"/>
  <c r="W59" i="3"/>
  <c r="R59" i="3"/>
  <c r="S59" i="3" s="1"/>
  <c r="Q59" i="3"/>
  <c r="L59" i="3"/>
  <c r="M59" i="3" s="1"/>
  <c r="K59" i="3"/>
  <c r="C59" i="3"/>
  <c r="AB58" i="3"/>
  <c r="AC58" i="3" s="1" a="1"/>
  <c r="AC58" i="3" s="1"/>
  <c r="AA58" i="3"/>
  <c r="Z58" i="3"/>
  <c r="Y58" i="3"/>
  <c r="X58" i="3"/>
  <c r="W58" i="3"/>
  <c r="R58" i="3"/>
  <c r="S58" i="3" s="1"/>
  <c r="Q58" i="3"/>
  <c r="M58" i="3"/>
  <c r="L58" i="3"/>
  <c r="K58" i="3"/>
  <c r="C58" i="3"/>
  <c r="AB57" i="3"/>
  <c r="AC57" i="3" s="1" a="1"/>
  <c r="AC57" i="3" s="1"/>
  <c r="Z57" i="3"/>
  <c r="AA57" i="3" s="1"/>
  <c r="Y57" i="3"/>
  <c r="X57" i="3"/>
  <c r="W57" i="3"/>
  <c r="R57" i="3"/>
  <c r="S57" i="3" s="1"/>
  <c r="Q57" i="3"/>
  <c r="L57" i="3"/>
  <c r="M57" i="3" s="1"/>
  <c r="K57" i="3"/>
  <c r="C57" i="3"/>
  <c r="AC56" i="3" a="1"/>
  <c r="AC56" i="3" s="1"/>
  <c r="AB56" i="3"/>
  <c r="Z56" i="3"/>
  <c r="AA56" i="3" s="1"/>
  <c r="Y56" i="3"/>
  <c r="X56" i="3"/>
  <c r="W56" i="3"/>
  <c r="S56" i="3"/>
  <c r="R56" i="3"/>
  <c r="Q56" i="3"/>
  <c r="L56" i="3"/>
  <c r="M56" i="3" s="1"/>
  <c r="K56" i="3"/>
  <c r="C56" i="3"/>
  <c r="AC55" i="3" a="1"/>
  <c r="AC55" i="3" s="1"/>
  <c r="AB55" i="3"/>
  <c r="Z55" i="3"/>
  <c r="AA55" i="3" s="1"/>
  <c r="Y55" i="3"/>
  <c r="X55" i="3"/>
  <c r="W55" i="3"/>
  <c r="R55" i="3"/>
  <c r="S55" i="3" s="1"/>
  <c r="Q55" i="3"/>
  <c r="L55" i="3"/>
  <c r="M55" i="3" s="1"/>
  <c r="K55" i="3"/>
  <c r="C55" i="3"/>
  <c r="AB54" i="3"/>
  <c r="AC54" i="3" s="1" a="1"/>
  <c r="AC54" i="3" s="1"/>
  <c r="Z54" i="3"/>
  <c r="AA54" i="3" s="1"/>
  <c r="Y54" i="3"/>
  <c r="X54" i="3"/>
  <c r="W54" i="3"/>
  <c r="R54" i="3"/>
  <c r="S54" i="3" s="1"/>
  <c r="Q54" i="3"/>
  <c r="L54" i="3"/>
  <c r="M54" i="3" s="1"/>
  <c r="K54" i="3"/>
  <c r="C54" i="3"/>
  <c r="AC53" i="3" a="1"/>
  <c r="AC53" i="3" s="1"/>
  <c r="AB53" i="3"/>
  <c r="AA53" i="3"/>
  <c r="Z53" i="3"/>
  <c r="Y53" i="3"/>
  <c r="X53" i="3"/>
  <c r="W53" i="3"/>
  <c r="S53" i="3"/>
  <c r="R53" i="3"/>
  <c r="Q53" i="3"/>
  <c r="M53" i="3"/>
  <c r="L53" i="3"/>
  <c r="K53" i="3"/>
  <c r="C53" i="3"/>
  <c r="AC52" i="3" a="1"/>
  <c r="AC52" i="3"/>
  <c r="AB52" i="3"/>
  <c r="Z52" i="3"/>
  <c r="AA52" i="3" s="1"/>
  <c r="Y52" i="3"/>
  <c r="X52" i="3"/>
  <c r="W52" i="3"/>
  <c r="R52" i="3"/>
  <c r="S52" i="3" s="1"/>
  <c r="Q52" i="3"/>
  <c r="M52" i="3"/>
  <c r="L52" i="3"/>
  <c r="K52" i="3"/>
  <c r="C52" i="3"/>
  <c r="AB51" i="3"/>
  <c r="AC51" i="3" s="1" a="1"/>
  <c r="AC51" i="3" s="1"/>
  <c r="Z51" i="3"/>
  <c r="AA51" i="3" s="1"/>
  <c r="Y51" i="3"/>
  <c r="X51" i="3"/>
  <c r="W51" i="3"/>
  <c r="R51" i="3"/>
  <c r="S51" i="3" s="1"/>
  <c r="Q51" i="3"/>
  <c r="L51" i="3"/>
  <c r="M51" i="3" s="1"/>
  <c r="K51" i="3"/>
  <c r="C51" i="3"/>
  <c r="AB50" i="3"/>
  <c r="AC50" i="3" s="1" a="1"/>
  <c r="AC50" i="3" s="1"/>
  <c r="AA50" i="3"/>
  <c r="Z50" i="3"/>
  <c r="Y50" i="3"/>
  <c r="X50" i="3"/>
  <c r="W50" i="3"/>
  <c r="R50" i="3"/>
  <c r="S50" i="3" s="1"/>
  <c r="Q50" i="3"/>
  <c r="M50" i="3"/>
  <c r="L50" i="3"/>
  <c r="K50" i="3"/>
  <c r="C50" i="3"/>
  <c r="AB49" i="3"/>
  <c r="AC49" i="3" s="1" a="1"/>
  <c r="AC49" i="3" s="1"/>
  <c r="Z49" i="3"/>
  <c r="AA49" i="3" s="1"/>
  <c r="Y49" i="3"/>
  <c r="X49" i="3"/>
  <c r="W49" i="3"/>
  <c r="R49" i="3"/>
  <c r="S49" i="3" s="1"/>
  <c r="Q49" i="3"/>
  <c r="L49" i="3"/>
  <c r="M49" i="3" s="1"/>
  <c r="K49" i="3"/>
  <c r="C49" i="3"/>
  <c r="AC48" i="3" a="1"/>
  <c r="AC48" i="3" s="1"/>
  <c r="AB48" i="3"/>
  <c r="Z48" i="3"/>
  <c r="AA48" i="3" s="1"/>
  <c r="Y48" i="3"/>
  <c r="X48" i="3"/>
  <c r="W48" i="3"/>
  <c r="S48" i="3"/>
  <c r="R48" i="3"/>
  <c r="Q48" i="3"/>
  <c r="L48" i="3"/>
  <c r="M48" i="3" s="1"/>
  <c r="K48" i="3"/>
  <c r="C48" i="3"/>
  <c r="AC47" i="3" a="1"/>
  <c r="AC47" i="3" s="1"/>
  <c r="AB47" i="3"/>
  <c r="Z47" i="3"/>
  <c r="AA47" i="3" s="1"/>
  <c r="Y47" i="3"/>
  <c r="X47" i="3"/>
  <c r="W47" i="3"/>
  <c r="R47" i="3"/>
  <c r="S47" i="3" s="1"/>
  <c r="Q47" i="3"/>
  <c r="L47" i="3"/>
  <c r="M47" i="3" s="1"/>
  <c r="K47" i="3"/>
  <c r="C47" i="3"/>
  <c r="AB46" i="3"/>
  <c r="AC46" i="3" s="1" a="1"/>
  <c r="AC46" i="3" s="1"/>
  <c r="Z46" i="3"/>
  <c r="AA46" i="3" s="1"/>
  <c r="Y46" i="3"/>
  <c r="X46" i="3"/>
  <c r="W46" i="3"/>
  <c r="R46" i="3"/>
  <c r="S46" i="3" s="1"/>
  <c r="Q46" i="3"/>
  <c r="L46" i="3"/>
  <c r="M46" i="3" s="1"/>
  <c r="K46" i="3"/>
  <c r="C46" i="3"/>
  <c r="AC45" i="3" a="1"/>
  <c r="AC45" i="3" s="1"/>
  <c r="AB45" i="3"/>
  <c r="AA45" i="3"/>
  <c r="Z45" i="3"/>
  <c r="Y45" i="3"/>
  <c r="X45" i="3"/>
  <c r="W45" i="3"/>
  <c r="S45" i="3"/>
  <c r="R45" i="3"/>
  <c r="Q45" i="3"/>
  <c r="M45" i="3"/>
  <c r="L45" i="3"/>
  <c r="K45" i="3"/>
  <c r="C45" i="3"/>
  <c r="AC44" i="3" a="1"/>
  <c r="AC44" i="3"/>
  <c r="AB44" i="3"/>
  <c r="Z44" i="3"/>
  <c r="AA44" i="3" s="1"/>
  <c r="Y44" i="3"/>
  <c r="X44" i="3"/>
  <c r="W44" i="3"/>
  <c r="R44" i="3"/>
  <c r="S44" i="3" s="1"/>
  <c r="Q44" i="3"/>
  <c r="M44" i="3"/>
  <c r="L44" i="3"/>
  <c r="K44" i="3"/>
  <c r="C44" i="3"/>
  <c r="AB43" i="3"/>
  <c r="AC43" i="3" s="1" a="1"/>
  <c r="AC43" i="3" s="1"/>
  <c r="Z43" i="3"/>
  <c r="AA43" i="3" s="1"/>
  <c r="Y43" i="3"/>
  <c r="X43" i="3"/>
  <c r="W43" i="3"/>
  <c r="R43" i="3"/>
  <c r="S43" i="3" s="1"/>
  <c r="Q43" i="3"/>
  <c r="L43" i="3"/>
  <c r="M43" i="3" s="1"/>
  <c r="K43" i="3"/>
  <c r="C43" i="3"/>
  <c r="AB42" i="3"/>
  <c r="AC42" i="3" s="1" a="1"/>
  <c r="AC42" i="3" s="1"/>
  <c r="AA42" i="3"/>
  <c r="Z42" i="3"/>
  <c r="Y42" i="3"/>
  <c r="X42" i="3"/>
  <c r="W42" i="3"/>
  <c r="R42" i="3"/>
  <c r="S42" i="3" s="1"/>
  <c r="Q42" i="3"/>
  <c r="M42" i="3"/>
  <c r="L42" i="3"/>
  <c r="K42" i="3"/>
  <c r="C42" i="3"/>
  <c r="AB41" i="3"/>
  <c r="AC41" i="3" s="1" a="1"/>
  <c r="AC41" i="3" s="1"/>
  <c r="Z41" i="3"/>
  <c r="AA41" i="3" s="1"/>
  <c r="Y41" i="3"/>
  <c r="X41" i="3"/>
  <c r="W41" i="3"/>
  <c r="R41" i="3"/>
  <c r="S41" i="3" s="1"/>
  <c r="Q41" i="3"/>
  <c r="L41" i="3"/>
  <c r="M41" i="3" s="1"/>
  <c r="K41" i="3"/>
  <c r="C41" i="3"/>
  <c r="AC40" i="3" a="1"/>
  <c r="AC40" i="3" s="1"/>
  <c r="AB40" i="3"/>
  <c r="Z40" i="3"/>
  <c r="AA40" i="3" s="1"/>
  <c r="Y40" i="3"/>
  <c r="X40" i="3"/>
  <c r="W40" i="3"/>
  <c r="S40" i="3"/>
  <c r="R40" i="3"/>
  <c r="Q40" i="3"/>
  <c r="L40" i="3"/>
  <c r="M40" i="3" s="1"/>
  <c r="K40" i="3"/>
  <c r="C40" i="3"/>
  <c r="AC39" i="3" a="1"/>
  <c r="AC39" i="3" s="1"/>
  <c r="AB39" i="3"/>
  <c r="Z39" i="3"/>
  <c r="AA39" i="3" s="1"/>
  <c r="Y39" i="3"/>
  <c r="X39" i="3"/>
  <c r="W39" i="3"/>
  <c r="R39" i="3"/>
  <c r="S39" i="3" s="1"/>
  <c r="Q39" i="3"/>
  <c r="L39" i="3"/>
  <c r="M39" i="3" s="1"/>
  <c r="K39" i="3"/>
  <c r="C39" i="3"/>
  <c r="AB38" i="3"/>
  <c r="AC38" i="3" s="1" a="1"/>
  <c r="AC38" i="3" s="1"/>
  <c r="Z38" i="3"/>
  <c r="AA38" i="3" s="1"/>
  <c r="Y38" i="3"/>
  <c r="X38" i="3"/>
  <c r="W38" i="3"/>
  <c r="R38" i="3"/>
  <c r="S38" i="3" s="1"/>
  <c r="Q38" i="3"/>
  <c r="L38" i="3"/>
  <c r="M38" i="3" s="1"/>
  <c r="K38" i="3"/>
  <c r="C38" i="3"/>
  <c r="AC37" i="3" a="1"/>
  <c r="AC37" i="3" s="1"/>
  <c r="AB37" i="3"/>
  <c r="AA37" i="3"/>
  <c r="Z37" i="3"/>
  <c r="Y37" i="3"/>
  <c r="X37" i="3"/>
  <c r="W37" i="3"/>
  <c r="S37" i="3"/>
  <c r="R37" i="3"/>
  <c r="Q37" i="3"/>
  <c r="M37" i="3"/>
  <c r="L37" i="3"/>
  <c r="K37" i="3"/>
  <c r="C37" i="3"/>
  <c r="AC36" i="3" a="1"/>
  <c r="AC36" i="3"/>
  <c r="AB36" i="3"/>
  <c r="Z36" i="3"/>
  <c r="AA36" i="3" s="1"/>
  <c r="Y36" i="3"/>
  <c r="X36" i="3"/>
  <c r="W36" i="3"/>
  <c r="R36" i="3"/>
  <c r="S36" i="3" s="1"/>
  <c r="Q36" i="3"/>
  <c r="M36" i="3"/>
  <c r="L36" i="3"/>
  <c r="K36" i="3"/>
  <c r="C36" i="3"/>
  <c r="AB35" i="3"/>
  <c r="AC35" i="3" s="1" a="1"/>
  <c r="AC35" i="3" s="1"/>
  <c r="Z35" i="3"/>
  <c r="AA35" i="3" s="1"/>
  <c r="Y35" i="3"/>
  <c r="X35" i="3"/>
  <c r="W35" i="3"/>
  <c r="R35" i="3"/>
  <c r="S35" i="3" s="1"/>
  <c r="Q35" i="3"/>
  <c r="L35" i="3"/>
  <c r="M35" i="3" s="1"/>
  <c r="K35" i="3"/>
  <c r="C35" i="3"/>
  <c r="AB34" i="3"/>
  <c r="AC34" i="3" s="1" a="1"/>
  <c r="AC34" i="3" s="1"/>
  <c r="AA34" i="3"/>
  <c r="Z34" i="3"/>
  <c r="Y34" i="3"/>
  <c r="X34" i="3"/>
  <c r="W34" i="3"/>
  <c r="R34" i="3"/>
  <c r="S34" i="3" s="1"/>
  <c r="Q34" i="3"/>
  <c r="M34" i="3"/>
  <c r="L34" i="3"/>
  <c r="K34" i="3"/>
  <c r="C34" i="3"/>
  <c r="AB33" i="3"/>
  <c r="AC33" i="3" s="1" a="1"/>
  <c r="AC33" i="3" s="1"/>
  <c r="AA33" i="3"/>
  <c r="Z33" i="3"/>
  <c r="Y33" i="3"/>
  <c r="X33" i="3"/>
  <c r="W33" i="3"/>
  <c r="R33" i="3"/>
  <c r="S33" i="3" s="1"/>
  <c r="Q33" i="3"/>
  <c r="M33" i="3"/>
  <c r="L33" i="3"/>
  <c r="K33" i="3"/>
  <c r="C33" i="3"/>
  <c r="AB32" i="3"/>
  <c r="AC32" i="3" s="1" a="1"/>
  <c r="AC32" i="3" s="1"/>
  <c r="AA32" i="3"/>
  <c r="Z32" i="3"/>
  <c r="Y32" i="3"/>
  <c r="X32" i="3"/>
  <c r="W32" i="3"/>
  <c r="R32" i="3"/>
  <c r="S32" i="3" s="1"/>
  <c r="Q32" i="3"/>
  <c r="M32" i="3"/>
  <c r="L32" i="3"/>
  <c r="K32" i="3"/>
  <c r="C32" i="3"/>
  <c r="AB31" i="3"/>
  <c r="AC31" i="3" s="1" a="1"/>
  <c r="AC31" i="3" s="1"/>
  <c r="AA31" i="3"/>
  <c r="Z31" i="3"/>
  <c r="Y31" i="3"/>
  <c r="X31" i="3"/>
  <c r="W31" i="3"/>
  <c r="R31" i="3"/>
  <c r="S31" i="3" s="1"/>
  <c r="Q31" i="3"/>
  <c r="M31" i="3"/>
  <c r="L31" i="3"/>
  <c r="K31" i="3"/>
  <c r="C31" i="3"/>
  <c r="AB30" i="3"/>
  <c r="AC30" i="3" s="1" a="1"/>
  <c r="AC30" i="3" s="1"/>
  <c r="AA30" i="3"/>
  <c r="Z30" i="3"/>
  <c r="Y30" i="3"/>
  <c r="X30" i="3"/>
  <c r="W30" i="3"/>
  <c r="R30" i="3"/>
  <c r="S30" i="3" s="1"/>
  <c r="Q30" i="3"/>
  <c r="M30" i="3"/>
  <c r="L30" i="3"/>
  <c r="K30" i="3"/>
  <c r="C30" i="3"/>
  <c r="AB29" i="3"/>
  <c r="AC29" i="3" s="1" a="1"/>
  <c r="AC29" i="3" s="1"/>
  <c r="AA29" i="3"/>
  <c r="Z29" i="3"/>
  <c r="Y29" i="3"/>
  <c r="X29" i="3"/>
  <c r="W29" i="3"/>
  <c r="R29" i="3"/>
  <c r="S29" i="3" s="1"/>
  <c r="Q29" i="3"/>
  <c r="M29" i="3"/>
  <c r="L29" i="3"/>
  <c r="K29" i="3"/>
  <c r="C29" i="3"/>
  <c r="AB28" i="3"/>
  <c r="AC28" i="3" s="1" a="1"/>
  <c r="AC28" i="3" s="1"/>
  <c r="AA28" i="3"/>
  <c r="Z28" i="3"/>
  <c r="Y28" i="3"/>
  <c r="X28" i="3"/>
  <c r="W28" i="3"/>
  <c r="R28" i="3"/>
  <c r="S28" i="3" s="1"/>
  <c r="Q28" i="3"/>
  <c r="M28" i="3"/>
  <c r="L28" i="3"/>
  <c r="K28" i="3"/>
  <c r="C28" i="3"/>
  <c r="AB27" i="3"/>
  <c r="AC27" i="3" s="1" a="1"/>
  <c r="AC27" i="3" s="1"/>
  <c r="AA27" i="3"/>
  <c r="Z27" i="3"/>
  <c r="Y27" i="3"/>
  <c r="X27" i="3"/>
  <c r="W27" i="3"/>
  <c r="R27" i="3"/>
  <c r="S27" i="3" s="1"/>
  <c r="Q27" i="3"/>
  <c r="M27" i="3"/>
  <c r="L27" i="3"/>
  <c r="K27" i="3"/>
  <c r="C27" i="3"/>
  <c r="AB26" i="3"/>
  <c r="AC26" i="3" s="1" a="1"/>
  <c r="AC26" i="3" s="1"/>
  <c r="AA26" i="3"/>
  <c r="Z26" i="3"/>
  <c r="Y26" i="3"/>
  <c r="X26" i="3"/>
  <c r="W26" i="3"/>
  <c r="R26" i="3"/>
  <c r="S26" i="3" s="1"/>
  <c r="Q26" i="3"/>
  <c r="M26" i="3"/>
  <c r="L26" i="3"/>
  <c r="K26" i="3"/>
  <c r="C26" i="3"/>
  <c r="AB25" i="3"/>
  <c r="AC25" i="3" s="1" a="1"/>
  <c r="AC25" i="3" s="1"/>
  <c r="AA25" i="3"/>
  <c r="Z25" i="3"/>
  <c r="Y25" i="3"/>
  <c r="X25" i="3"/>
  <c r="W25" i="3"/>
  <c r="R25" i="3"/>
  <c r="S25" i="3" s="1"/>
  <c r="Q25" i="3"/>
  <c r="M25" i="3"/>
  <c r="L25" i="3"/>
  <c r="K25" i="3"/>
  <c r="C25" i="3"/>
  <c r="AB24" i="3"/>
  <c r="AC24" i="3" s="1" a="1"/>
  <c r="AC24" i="3" s="1"/>
  <c r="AA24" i="3"/>
  <c r="Z24" i="3"/>
  <c r="Y24" i="3"/>
  <c r="X24" i="3"/>
  <c r="W24" i="3"/>
  <c r="R24" i="3"/>
  <c r="S24" i="3" s="1"/>
  <c r="Q24" i="3"/>
  <c r="M24" i="3"/>
  <c r="L24" i="3"/>
  <c r="K24" i="3"/>
  <c r="C24" i="3"/>
  <c r="AB23" i="3"/>
  <c r="AC23" i="3" s="1" a="1"/>
  <c r="AC23" i="3" s="1"/>
  <c r="AA23" i="3"/>
  <c r="Z23" i="3"/>
  <c r="Y23" i="3"/>
  <c r="X23" i="3"/>
  <c r="W23" i="3"/>
  <c r="R23" i="3"/>
  <c r="S23" i="3" s="1"/>
  <c r="Q23" i="3"/>
  <c r="M23" i="3"/>
  <c r="L23" i="3"/>
  <c r="K23" i="3"/>
  <c r="C23" i="3"/>
  <c r="AB22" i="3"/>
  <c r="AC22" i="3" s="1" a="1"/>
  <c r="AC22" i="3" s="1"/>
  <c r="AA22" i="3"/>
  <c r="Z22" i="3"/>
  <c r="Y22" i="3"/>
  <c r="X22" i="3"/>
  <c r="W22" i="3"/>
  <c r="R22" i="3"/>
  <c r="S22" i="3" s="1"/>
  <c r="Q22" i="3"/>
  <c r="M22" i="3"/>
  <c r="L22" i="3"/>
  <c r="K22" i="3"/>
  <c r="C22" i="3"/>
  <c r="AB21" i="3"/>
  <c r="AC21" i="3" s="1" a="1"/>
  <c r="AC21" i="3" s="1"/>
  <c r="AA21" i="3"/>
  <c r="Z21" i="3"/>
  <c r="Y21" i="3"/>
  <c r="X21" i="3"/>
  <c r="W21" i="3"/>
  <c r="R21" i="3"/>
  <c r="S21" i="3" s="1"/>
  <c r="Q21" i="3"/>
  <c r="M21" i="3"/>
  <c r="L21" i="3"/>
  <c r="K21" i="3"/>
  <c r="C21" i="3"/>
  <c r="AB20" i="3"/>
  <c r="AC20" i="3" s="1" a="1"/>
  <c r="AC20" i="3" s="1"/>
  <c r="AA20" i="3"/>
  <c r="Z20" i="3"/>
  <c r="Y20" i="3"/>
  <c r="X20" i="3"/>
  <c r="W20" i="3"/>
  <c r="R20" i="3"/>
  <c r="S20" i="3" s="1"/>
  <c r="Q20" i="3"/>
  <c r="M20" i="3"/>
  <c r="L20" i="3"/>
  <c r="K20" i="3"/>
  <c r="C20" i="3"/>
  <c r="AB19" i="3"/>
  <c r="AC19" i="3" s="1" a="1"/>
  <c r="AC19" i="3" s="1"/>
  <c r="AA19" i="3"/>
  <c r="Z19" i="3"/>
  <c r="Y19" i="3"/>
  <c r="X19" i="3"/>
  <c r="W19" i="3"/>
  <c r="R19" i="3"/>
  <c r="S19" i="3" s="1"/>
  <c r="Q19" i="3"/>
  <c r="M19" i="3"/>
  <c r="L19" i="3"/>
  <c r="K19" i="3"/>
  <c r="C19" i="3"/>
  <c r="AB18" i="3"/>
  <c r="AC18" i="3" s="1" a="1"/>
  <c r="AC18" i="3" s="1"/>
  <c r="AA18" i="3"/>
  <c r="Z18" i="3"/>
  <c r="Y18" i="3"/>
  <c r="X18" i="3"/>
  <c r="W18" i="3"/>
  <c r="R18" i="3"/>
  <c r="S18" i="3" s="1"/>
  <c r="Q18" i="3"/>
  <c r="M18" i="3"/>
  <c r="L18" i="3"/>
  <c r="K18" i="3"/>
  <c r="C18" i="3"/>
  <c r="Q15" i="3"/>
  <c r="K15" i="3"/>
  <c r="J11" i="3"/>
  <c r="AA10" i="3"/>
  <c r="Q10" i="3"/>
  <c r="J10" i="3"/>
  <c r="Z7" i="3"/>
  <c r="F7" i="3"/>
  <c r="Z5" i="3"/>
  <c r="R5" i="3"/>
  <c r="F5" i="3"/>
  <c r="AB118" i="2"/>
  <c r="AC118" i="2" s="1" a="1"/>
  <c r="AC118" i="2" s="1"/>
  <c r="Z118" i="2"/>
  <c r="AA118" i="2" s="1"/>
  <c r="Y118" i="2"/>
  <c r="X118" i="2"/>
  <c r="W118" i="2"/>
  <c r="R118" i="2"/>
  <c r="S118" i="2" s="1"/>
  <c r="Q118" i="2"/>
  <c r="L118" i="2"/>
  <c r="M118" i="2" s="1"/>
  <c r="K118" i="2"/>
  <c r="C118" i="2"/>
  <c r="AB117" i="2"/>
  <c r="AC117" i="2" s="1" a="1"/>
  <c r="AC117" i="2" s="1"/>
  <c r="Z117" i="2"/>
  <c r="AA117" i="2" s="1"/>
  <c r="Y117" i="2"/>
  <c r="X117" i="2"/>
  <c r="W117" i="2"/>
  <c r="R117" i="2"/>
  <c r="S117" i="2" s="1"/>
  <c r="Q117" i="2"/>
  <c r="L117" i="2"/>
  <c r="M117" i="2" s="1"/>
  <c r="K117" i="2"/>
  <c r="C117" i="2"/>
  <c r="AB116" i="2"/>
  <c r="AC116" i="2" s="1" a="1"/>
  <c r="AC116" i="2" s="1"/>
  <c r="AA116" i="2"/>
  <c r="Z116" i="2"/>
  <c r="Y116" i="2"/>
  <c r="X116" i="2"/>
  <c r="W116" i="2"/>
  <c r="R116" i="2"/>
  <c r="S116" i="2" s="1"/>
  <c r="Q116" i="2"/>
  <c r="L116" i="2"/>
  <c r="M116" i="2" s="1"/>
  <c r="K116" i="2"/>
  <c r="C116" i="2"/>
  <c r="AB115" i="2"/>
  <c r="AC115" i="2" s="1" a="1"/>
  <c r="AC115" i="2" s="1"/>
  <c r="Z115" i="2"/>
  <c r="AA115" i="2" s="1"/>
  <c r="Y115" i="2"/>
  <c r="X115" i="2"/>
  <c r="W115" i="2"/>
  <c r="R115" i="2"/>
  <c r="S115" i="2" s="1"/>
  <c r="Q115" i="2"/>
  <c r="L115" i="2"/>
  <c r="M115" i="2" s="1"/>
  <c r="K115" i="2"/>
  <c r="C115" i="2"/>
  <c r="AB114" i="2"/>
  <c r="AC114" i="2" s="1" a="1"/>
  <c r="AC114" i="2" s="1"/>
  <c r="Z114" i="2"/>
  <c r="AA114" i="2" s="1"/>
  <c r="Y114" i="2"/>
  <c r="X114" i="2"/>
  <c r="W114" i="2"/>
  <c r="R114" i="2"/>
  <c r="S114" i="2" s="1"/>
  <c r="Q114" i="2"/>
  <c r="L114" i="2"/>
  <c r="M114" i="2" s="1"/>
  <c r="K114" i="2"/>
  <c r="C114" i="2"/>
  <c r="AB113" i="2"/>
  <c r="AC113" i="2" s="1" a="1"/>
  <c r="AC113" i="2" s="1"/>
  <c r="Z113" i="2"/>
  <c r="AA113" i="2" s="1"/>
  <c r="Y113" i="2"/>
  <c r="X113" i="2"/>
  <c r="W113" i="2"/>
  <c r="R113" i="2"/>
  <c r="S113" i="2" s="1"/>
  <c r="Q113" i="2"/>
  <c r="L113" i="2"/>
  <c r="M113" i="2" s="1"/>
  <c r="K113" i="2"/>
  <c r="C113" i="2"/>
  <c r="AB112" i="2"/>
  <c r="AC112" i="2" s="1" a="1"/>
  <c r="AC112" i="2" s="1"/>
  <c r="Z112" i="2"/>
  <c r="AA112" i="2" s="1"/>
  <c r="Y112" i="2"/>
  <c r="X112" i="2"/>
  <c r="W112" i="2"/>
  <c r="R112" i="2"/>
  <c r="S112" i="2" s="1"/>
  <c r="Q112" i="2"/>
  <c r="L112" i="2"/>
  <c r="M112" i="2" s="1"/>
  <c r="K112" i="2"/>
  <c r="C112" i="2"/>
  <c r="AB111" i="2"/>
  <c r="AC111" i="2" s="1" a="1"/>
  <c r="AC111" i="2" s="1"/>
  <c r="Z111" i="2"/>
  <c r="AA111" i="2" s="1"/>
  <c r="Y111" i="2"/>
  <c r="X111" i="2"/>
  <c r="W111" i="2"/>
  <c r="R111" i="2"/>
  <c r="S111" i="2" s="1"/>
  <c r="Q111" i="2"/>
  <c r="L111" i="2"/>
  <c r="M111" i="2" s="1"/>
  <c r="K111" i="2"/>
  <c r="C111" i="2"/>
  <c r="AB110" i="2"/>
  <c r="AC110" i="2" s="1" a="1"/>
  <c r="AC110" i="2" s="1"/>
  <c r="Z110" i="2"/>
  <c r="AA110" i="2" s="1"/>
  <c r="Y110" i="2"/>
  <c r="X110" i="2"/>
  <c r="W110" i="2"/>
  <c r="R110" i="2"/>
  <c r="S110" i="2" s="1"/>
  <c r="Q110" i="2"/>
  <c r="L110" i="2"/>
  <c r="M110" i="2" s="1"/>
  <c r="K110" i="2"/>
  <c r="C110" i="2"/>
  <c r="AB109" i="2"/>
  <c r="AC109" i="2" s="1" a="1"/>
  <c r="AC109" i="2" s="1"/>
  <c r="Z109" i="2"/>
  <c r="AA109" i="2" s="1"/>
  <c r="Y109" i="2"/>
  <c r="X109" i="2"/>
  <c r="W109" i="2"/>
  <c r="R109" i="2"/>
  <c r="S109" i="2" s="1"/>
  <c r="Q109" i="2"/>
  <c r="L109" i="2"/>
  <c r="M109" i="2" s="1"/>
  <c r="K109" i="2"/>
  <c r="C109" i="2"/>
  <c r="AB108" i="2"/>
  <c r="AC108" i="2" s="1" a="1"/>
  <c r="AC108" i="2" s="1"/>
  <c r="Z108" i="2"/>
  <c r="AA108" i="2" s="1"/>
  <c r="Y108" i="2"/>
  <c r="X108" i="2"/>
  <c r="W108" i="2"/>
  <c r="R108" i="2"/>
  <c r="S108" i="2" s="1"/>
  <c r="Q108" i="2"/>
  <c r="L108" i="2"/>
  <c r="M108" i="2" s="1"/>
  <c r="K108" i="2"/>
  <c r="C108" i="2"/>
  <c r="AB107" i="2"/>
  <c r="AC107" i="2" s="1" a="1"/>
  <c r="AC107" i="2" s="1"/>
  <c r="Z107" i="2"/>
  <c r="AA107" i="2" s="1"/>
  <c r="Y107" i="2"/>
  <c r="X107" i="2"/>
  <c r="W107" i="2"/>
  <c r="R107" i="2"/>
  <c r="S107" i="2" s="1"/>
  <c r="Q107" i="2"/>
  <c r="L107" i="2"/>
  <c r="M107" i="2" s="1"/>
  <c r="K107" i="2"/>
  <c r="C107" i="2"/>
  <c r="AB106" i="2"/>
  <c r="AC106" i="2" s="1" a="1"/>
  <c r="AC106" i="2" s="1"/>
  <c r="Z106" i="2"/>
  <c r="AA106" i="2" s="1"/>
  <c r="Y106" i="2"/>
  <c r="X106" i="2"/>
  <c r="W106" i="2"/>
  <c r="R106" i="2"/>
  <c r="S106" i="2" s="1"/>
  <c r="Q106" i="2"/>
  <c r="L106" i="2"/>
  <c r="M106" i="2" s="1"/>
  <c r="K106" i="2"/>
  <c r="C106" i="2"/>
  <c r="AB105" i="2"/>
  <c r="AC105" i="2" s="1" a="1"/>
  <c r="AC105" i="2" s="1"/>
  <c r="Z105" i="2"/>
  <c r="AA105" i="2" s="1"/>
  <c r="Y105" i="2"/>
  <c r="X105" i="2"/>
  <c r="W105" i="2"/>
  <c r="R105" i="2"/>
  <c r="S105" i="2" s="1"/>
  <c r="Q105" i="2"/>
  <c r="L105" i="2"/>
  <c r="M105" i="2" s="1"/>
  <c r="K105" i="2"/>
  <c r="C105" i="2"/>
  <c r="AB104" i="2"/>
  <c r="AC104" i="2" s="1" a="1"/>
  <c r="AC104" i="2" s="1"/>
  <c r="Z104" i="2"/>
  <c r="AA104" i="2" s="1"/>
  <c r="Y104" i="2"/>
  <c r="X104" i="2"/>
  <c r="W104" i="2"/>
  <c r="R104" i="2"/>
  <c r="S104" i="2" s="1"/>
  <c r="Q104" i="2"/>
  <c r="L104" i="2"/>
  <c r="M104" i="2" s="1"/>
  <c r="K104" i="2"/>
  <c r="C104" i="2"/>
  <c r="AB103" i="2"/>
  <c r="AC103" i="2" s="1" a="1"/>
  <c r="AC103" i="2" s="1"/>
  <c r="Z103" i="2"/>
  <c r="AA103" i="2" s="1"/>
  <c r="Y103" i="2"/>
  <c r="X103" i="2"/>
  <c r="W103" i="2"/>
  <c r="R103" i="2"/>
  <c r="S103" i="2" s="1"/>
  <c r="Q103" i="2"/>
  <c r="L103" i="2"/>
  <c r="M103" i="2" s="1"/>
  <c r="K103" i="2"/>
  <c r="C103" i="2"/>
  <c r="AB102" i="2"/>
  <c r="AC102" i="2" s="1" a="1"/>
  <c r="AC102" i="2" s="1"/>
  <c r="Z102" i="2"/>
  <c r="AA102" i="2" s="1"/>
  <c r="Y102" i="2"/>
  <c r="X102" i="2"/>
  <c r="W102" i="2"/>
  <c r="R102" i="2"/>
  <c r="S102" i="2" s="1"/>
  <c r="Q102" i="2"/>
  <c r="L102" i="2"/>
  <c r="M102" i="2" s="1"/>
  <c r="K102" i="2"/>
  <c r="C102" i="2"/>
  <c r="AB101" i="2"/>
  <c r="AC101" i="2" s="1" a="1"/>
  <c r="AC101" i="2" s="1"/>
  <c r="AA101" i="2"/>
  <c r="Z101" i="2"/>
  <c r="Y101" i="2"/>
  <c r="X101" i="2"/>
  <c r="W101" i="2"/>
  <c r="R101" i="2"/>
  <c r="S101" i="2" s="1"/>
  <c r="Q101" i="2"/>
  <c r="L101" i="2"/>
  <c r="M101" i="2" s="1"/>
  <c r="K101" i="2"/>
  <c r="C101" i="2"/>
  <c r="AB100" i="2"/>
  <c r="AC100" i="2" s="1" a="1"/>
  <c r="AC100" i="2" s="1"/>
  <c r="Z100" i="2"/>
  <c r="AA100" i="2" s="1"/>
  <c r="Y100" i="2"/>
  <c r="X100" i="2"/>
  <c r="W100" i="2"/>
  <c r="R100" i="2"/>
  <c r="S100" i="2" s="1"/>
  <c r="Q100" i="2"/>
  <c r="L100" i="2"/>
  <c r="M100" i="2" s="1"/>
  <c r="K100" i="2"/>
  <c r="C100" i="2"/>
  <c r="AB99" i="2"/>
  <c r="AC99" i="2" s="1" a="1"/>
  <c r="AC99" i="2" s="1"/>
  <c r="Z99" i="2"/>
  <c r="AA99" i="2" s="1"/>
  <c r="Y99" i="2"/>
  <c r="X99" i="2"/>
  <c r="W99" i="2"/>
  <c r="R99" i="2"/>
  <c r="S99" i="2" s="1"/>
  <c r="Q99" i="2"/>
  <c r="L99" i="2"/>
  <c r="M99" i="2" s="1"/>
  <c r="K99" i="2"/>
  <c r="C99" i="2"/>
  <c r="AB98" i="2"/>
  <c r="AC98" i="2" s="1" a="1"/>
  <c r="AC98" i="2" s="1"/>
  <c r="Z98" i="2"/>
  <c r="AA98" i="2" s="1"/>
  <c r="Y98" i="2"/>
  <c r="X98" i="2"/>
  <c r="W98" i="2"/>
  <c r="R98" i="2"/>
  <c r="S98" i="2" s="1"/>
  <c r="Q98" i="2"/>
  <c r="L98" i="2"/>
  <c r="M98" i="2" s="1"/>
  <c r="K98" i="2"/>
  <c r="C98" i="2"/>
  <c r="AB97" i="2"/>
  <c r="AC97" i="2" s="1" a="1"/>
  <c r="AC97" i="2" s="1"/>
  <c r="Z97" i="2"/>
  <c r="AA97" i="2" s="1"/>
  <c r="Y97" i="2"/>
  <c r="X97" i="2"/>
  <c r="W97" i="2"/>
  <c r="R97" i="2"/>
  <c r="S97" i="2" s="1"/>
  <c r="Q97" i="2"/>
  <c r="L97" i="2"/>
  <c r="M97" i="2" s="1"/>
  <c r="K97" i="2"/>
  <c r="C97" i="2"/>
  <c r="AB96" i="2"/>
  <c r="AC96" i="2" s="1" a="1"/>
  <c r="AC96" i="2" s="1"/>
  <c r="Z96" i="2"/>
  <c r="AA96" i="2" s="1"/>
  <c r="Y96" i="2"/>
  <c r="X96" i="2"/>
  <c r="W96" i="2"/>
  <c r="R96" i="2"/>
  <c r="S96" i="2" s="1"/>
  <c r="Q96" i="2"/>
  <c r="L96" i="2"/>
  <c r="M96" i="2" s="1"/>
  <c r="K96" i="2"/>
  <c r="C96" i="2"/>
  <c r="AB95" i="2"/>
  <c r="AC95" i="2" s="1" a="1"/>
  <c r="AC95" i="2" s="1"/>
  <c r="AA95" i="2"/>
  <c r="Z95" i="2"/>
  <c r="Y95" i="2"/>
  <c r="X95" i="2"/>
  <c r="W95" i="2"/>
  <c r="R95" i="2"/>
  <c r="S95" i="2" s="1"/>
  <c r="Q95" i="2"/>
  <c r="L95" i="2"/>
  <c r="M95" i="2" s="1"/>
  <c r="K95" i="2"/>
  <c r="C95" i="2"/>
  <c r="AB94" i="2"/>
  <c r="AC94" i="2" s="1" a="1"/>
  <c r="AC94" i="2" s="1"/>
  <c r="Z94" i="2"/>
  <c r="AA94" i="2" s="1"/>
  <c r="Y94" i="2"/>
  <c r="X94" i="2"/>
  <c r="W94" i="2"/>
  <c r="R94" i="2"/>
  <c r="S94" i="2" s="1"/>
  <c r="Q94" i="2"/>
  <c r="L94" i="2"/>
  <c r="M94" i="2" s="1"/>
  <c r="K94" i="2"/>
  <c r="C94" i="2"/>
  <c r="AB93" i="2"/>
  <c r="AC93" i="2" s="1" a="1"/>
  <c r="AC93" i="2" s="1"/>
  <c r="Z93" i="2"/>
  <c r="AA93" i="2" s="1"/>
  <c r="Y93" i="2"/>
  <c r="X93" i="2"/>
  <c r="W93" i="2"/>
  <c r="R93" i="2"/>
  <c r="S93" i="2" s="1"/>
  <c r="Q93" i="2"/>
  <c r="L93" i="2"/>
  <c r="M93" i="2" s="1"/>
  <c r="K93" i="2"/>
  <c r="C93" i="2"/>
  <c r="AB92" i="2"/>
  <c r="AC92" i="2" s="1" a="1"/>
  <c r="AC92" i="2" s="1"/>
  <c r="Z92" i="2"/>
  <c r="AA92" i="2" s="1"/>
  <c r="Y92" i="2"/>
  <c r="X92" i="2"/>
  <c r="W92" i="2"/>
  <c r="R92" i="2"/>
  <c r="S92" i="2" s="1"/>
  <c r="Q92" i="2"/>
  <c r="L92" i="2"/>
  <c r="M92" i="2" s="1"/>
  <c r="K92" i="2"/>
  <c r="C92" i="2"/>
  <c r="AB91" i="2"/>
  <c r="AC91" i="2" s="1" a="1"/>
  <c r="AC91" i="2" s="1"/>
  <c r="AA91" i="2"/>
  <c r="Z91" i="2"/>
  <c r="Y91" i="2"/>
  <c r="X91" i="2"/>
  <c r="W91" i="2"/>
  <c r="R91" i="2"/>
  <c r="S91" i="2" s="1"/>
  <c r="Q91" i="2"/>
  <c r="L91" i="2"/>
  <c r="M91" i="2" s="1"/>
  <c r="K91" i="2"/>
  <c r="C91" i="2"/>
  <c r="AB90" i="2"/>
  <c r="AC90" i="2" s="1" a="1"/>
  <c r="AC90" i="2" s="1"/>
  <c r="Z90" i="2"/>
  <c r="AA90" i="2" s="1"/>
  <c r="Y90" i="2"/>
  <c r="X90" i="2"/>
  <c r="W90" i="2"/>
  <c r="R90" i="2"/>
  <c r="S90" i="2" s="1"/>
  <c r="Q90" i="2"/>
  <c r="L90" i="2"/>
  <c r="M90" i="2" s="1"/>
  <c r="K90" i="2"/>
  <c r="C90" i="2"/>
  <c r="AB89" i="2"/>
  <c r="AC89" i="2" s="1" a="1"/>
  <c r="AC89" i="2" s="1"/>
  <c r="Z89" i="2"/>
  <c r="AA89" i="2" s="1"/>
  <c r="Y89" i="2"/>
  <c r="X89" i="2"/>
  <c r="W89" i="2"/>
  <c r="R89" i="2"/>
  <c r="S89" i="2" s="1"/>
  <c r="Q89" i="2"/>
  <c r="L89" i="2"/>
  <c r="M89" i="2" s="1"/>
  <c r="K89" i="2"/>
  <c r="C89" i="2"/>
  <c r="AB88" i="2"/>
  <c r="AC88" i="2" s="1" a="1"/>
  <c r="AC88" i="2" s="1"/>
  <c r="Z88" i="2"/>
  <c r="AA88" i="2" s="1"/>
  <c r="Y88" i="2"/>
  <c r="X88" i="2"/>
  <c r="W88" i="2"/>
  <c r="R88" i="2"/>
  <c r="S88" i="2" s="1"/>
  <c r="Q88" i="2"/>
  <c r="L88" i="2"/>
  <c r="M88" i="2" s="1"/>
  <c r="K88" i="2"/>
  <c r="C88" i="2"/>
  <c r="AB87" i="2"/>
  <c r="AC87" i="2" s="1" a="1"/>
  <c r="AC87" i="2" s="1"/>
  <c r="Z87" i="2"/>
  <c r="AA87" i="2" s="1"/>
  <c r="Y87" i="2"/>
  <c r="X87" i="2"/>
  <c r="W87" i="2"/>
  <c r="R87" i="2"/>
  <c r="S87" i="2" s="1"/>
  <c r="Q87" i="2"/>
  <c r="L87" i="2"/>
  <c r="M87" i="2" s="1"/>
  <c r="K87" i="2"/>
  <c r="C87" i="2"/>
  <c r="AB86" i="2"/>
  <c r="AC86" i="2" s="1" a="1"/>
  <c r="AC86" i="2" s="1"/>
  <c r="Z86" i="2"/>
  <c r="AA86" i="2" s="1"/>
  <c r="Y86" i="2"/>
  <c r="X86" i="2"/>
  <c r="W86" i="2"/>
  <c r="S86" i="2"/>
  <c r="R86" i="2"/>
  <c r="Q86" i="2"/>
  <c r="M86" i="2"/>
  <c r="L86" i="2"/>
  <c r="K86" i="2"/>
  <c r="C86" i="2"/>
  <c r="AB85" i="2"/>
  <c r="AC85" i="2" s="1" a="1"/>
  <c r="AC85" i="2" s="1"/>
  <c r="Z85" i="2"/>
  <c r="AA85" i="2" s="1"/>
  <c r="Y85" i="2"/>
  <c r="X85" i="2"/>
  <c r="W85" i="2"/>
  <c r="R85" i="2"/>
  <c r="S85" i="2" s="1"/>
  <c r="Q85" i="2"/>
  <c r="L85" i="2"/>
  <c r="M85" i="2" s="1"/>
  <c r="K85" i="2"/>
  <c r="C85" i="2"/>
  <c r="Y84" i="2"/>
  <c r="X84" i="2"/>
  <c r="W84" i="2"/>
  <c r="Q84" i="2"/>
  <c r="R84" i="2" s="1"/>
  <c r="S84" i="2" s="1"/>
  <c r="K84" i="2"/>
  <c r="C84" i="2"/>
  <c r="Y83" i="2"/>
  <c r="X83" i="2"/>
  <c r="W83" i="2"/>
  <c r="Z83" i="2" s="1"/>
  <c r="AA83" i="2" s="1"/>
  <c r="Q83" i="2"/>
  <c r="R83" i="2" s="1"/>
  <c r="S83" i="2" s="1"/>
  <c r="K83" i="2"/>
  <c r="C83" i="2"/>
  <c r="Y82" i="2"/>
  <c r="X82" i="2"/>
  <c r="W82" i="2"/>
  <c r="Z82" i="2" s="1"/>
  <c r="AA82" i="2" s="1"/>
  <c r="Q82" i="2"/>
  <c r="R82" i="2" s="1"/>
  <c r="S82" i="2" s="1"/>
  <c r="K82" i="2"/>
  <c r="C82" i="2"/>
  <c r="Y81" i="2"/>
  <c r="X81" i="2"/>
  <c r="W81" i="2"/>
  <c r="Q81" i="2"/>
  <c r="R81" i="2" s="1"/>
  <c r="S81" i="2" s="1"/>
  <c r="K81" i="2"/>
  <c r="C81" i="2"/>
  <c r="Y80" i="2"/>
  <c r="X80" i="2"/>
  <c r="W80" i="2"/>
  <c r="Q80" i="2"/>
  <c r="R80" i="2" s="1"/>
  <c r="S80" i="2" s="1"/>
  <c r="K80" i="2"/>
  <c r="C80" i="2"/>
  <c r="Y79" i="2"/>
  <c r="X79" i="2"/>
  <c r="W79" i="2"/>
  <c r="Q79" i="2"/>
  <c r="R79" i="2" s="1"/>
  <c r="S79" i="2" s="1"/>
  <c r="K79" i="2"/>
  <c r="C79" i="2"/>
  <c r="Y78" i="2"/>
  <c r="X78" i="2"/>
  <c r="W78" i="2"/>
  <c r="Z78" i="2" s="1"/>
  <c r="AA78" i="2" s="1"/>
  <c r="Q78" i="2"/>
  <c r="R78" i="2" s="1"/>
  <c r="S78" i="2" s="1"/>
  <c r="K78" i="2"/>
  <c r="C78" i="2"/>
  <c r="Y77" i="2"/>
  <c r="X77" i="2"/>
  <c r="W77" i="2"/>
  <c r="Z77" i="2" s="1"/>
  <c r="AA77" i="2" s="1"/>
  <c r="Q77" i="2"/>
  <c r="R77" i="2" s="1"/>
  <c r="S77" i="2" s="1"/>
  <c r="K77" i="2"/>
  <c r="C77" i="2"/>
  <c r="Y76" i="2"/>
  <c r="X76" i="2"/>
  <c r="W76" i="2"/>
  <c r="Q76" i="2"/>
  <c r="R76" i="2" s="1"/>
  <c r="S76" i="2" s="1"/>
  <c r="K76" i="2"/>
  <c r="C76" i="2"/>
  <c r="Y75" i="2"/>
  <c r="X75" i="2"/>
  <c r="W75" i="2"/>
  <c r="Q75" i="2"/>
  <c r="R75" i="2" s="1"/>
  <c r="S75" i="2" s="1"/>
  <c r="K75" i="2"/>
  <c r="C75" i="2"/>
  <c r="Y74" i="2"/>
  <c r="X74" i="2"/>
  <c r="W74" i="2"/>
  <c r="Z74" i="2" s="1"/>
  <c r="AA74" i="2" s="1"/>
  <c r="Q74" i="2"/>
  <c r="R74" i="2" s="1"/>
  <c r="S74" i="2" s="1"/>
  <c r="K74" i="2"/>
  <c r="C74" i="2"/>
  <c r="Y73" i="2"/>
  <c r="X73" i="2"/>
  <c r="W73" i="2"/>
  <c r="Q73" i="2"/>
  <c r="R73" i="2" s="1"/>
  <c r="S73" i="2" s="1"/>
  <c r="K73" i="2"/>
  <c r="C73" i="2"/>
  <c r="Y72" i="2"/>
  <c r="X72" i="2"/>
  <c r="W72" i="2"/>
  <c r="Q72" i="2"/>
  <c r="R72" i="2" s="1"/>
  <c r="S72" i="2" s="1"/>
  <c r="K72" i="2"/>
  <c r="C72" i="2"/>
  <c r="Y71" i="2"/>
  <c r="X71" i="2"/>
  <c r="W71" i="2"/>
  <c r="Q71" i="2"/>
  <c r="R71" i="2" s="1"/>
  <c r="S71" i="2" s="1"/>
  <c r="K71" i="2"/>
  <c r="C71" i="2"/>
  <c r="Y70" i="2"/>
  <c r="Z70" i="2" s="1"/>
  <c r="AA70" i="2" s="1"/>
  <c r="X70" i="2"/>
  <c r="W70" i="2"/>
  <c r="Q70" i="2"/>
  <c r="R70" i="2" s="1"/>
  <c r="S70" i="2" s="1"/>
  <c r="K70" i="2"/>
  <c r="C70" i="2"/>
  <c r="Y69" i="2"/>
  <c r="X69" i="2"/>
  <c r="W69" i="2"/>
  <c r="Q69" i="2"/>
  <c r="R69" i="2" s="1"/>
  <c r="S69" i="2" s="1"/>
  <c r="K69" i="2"/>
  <c r="C69" i="2"/>
  <c r="AB67" i="2"/>
  <c r="AC67" i="2" s="1" a="1"/>
  <c r="AC67" i="2" s="1"/>
  <c r="AA67" i="2"/>
  <c r="Z67" i="2"/>
  <c r="Y67" i="2"/>
  <c r="X67" i="2"/>
  <c r="W67" i="2"/>
  <c r="R67" i="2"/>
  <c r="S67" i="2" s="1"/>
  <c r="Q67" i="2"/>
  <c r="L67" i="2"/>
  <c r="M67" i="2" s="1"/>
  <c r="K67" i="2"/>
  <c r="C67" i="2"/>
  <c r="AB66" i="2"/>
  <c r="AC66" i="2" s="1" a="1"/>
  <c r="AC66" i="2" s="1"/>
  <c r="Z66" i="2"/>
  <c r="AA66" i="2" s="1"/>
  <c r="Y66" i="2"/>
  <c r="X66" i="2"/>
  <c r="W66" i="2"/>
  <c r="R66" i="2"/>
  <c r="S66" i="2" s="1"/>
  <c r="Q66" i="2"/>
  <c r="L66" i="2"/>
  <c r="M66" i="2" s="1"/>
  <c r="K66" i="2"/>
  <c r="C66" i="2"/>
  <c r="AB65" i="2"/>
  <c r="AC65" i="2" s="1" a="1"/>
  <c r="AC65" i="2" s="1"/>
  <c r="Z65" i="2"/>
  <c r="AA65" i="2" s="1"/>
  <c r="Y65" i="2"/>
  <c r="X65" i="2"/>
  <c r="W65" i="2"/>
  <c r="R65" i="2"/>
  <c r="S65" i="2" s="1"/>
  <c r="Q65" i="2"/>
  <c r="L65" i="2"/>
  <c r="M65" i="2" s="1"/>
  <c r="K65" i="2"/>
  <c r="C65" i="2"/>
  <c r="AB64" i="2"/>
  <c r="AC64" i="2" s="1" a="1"/>
  <c r="AC64" i="2" s="1"/>
  <c r="Z64" i="2"/>
  <c r="AA64" i="2" s="1"/>
  <c r="Y64" i="2"/>
  <c r="X64" i="2"/>
  <c r="W64" i="2"/>
  <c r="R64" i="2"/>
  <c r="S64" i="2" s="1"/>
  <c r="Q64" i="2"/>
  <c r="L64" i="2"/>
  <c r="M64" i="2" s="1"/>
  <c r="K64" i="2"/>
  <c r="C64" i="2"/>
  <c r="AB63" i="2"/>
  <c r="AC63" i="2" s="1" a="1"/>
  <c r="AC63" i="2" s="1"/>
  <c r="AA63" i="2"/>
  <c r="Z63" i="2"/>
  <c r="Y63" i="2"/>
  <c r="X63" i="2"/>
  <c r="W63" i="2"/>
  <c r="R63" i="2"/>
  <c r="S63" i="2" s="1"/>
  <c r="Q63" i="2"/>
  <c r="L63" i="2"/>
  <c r="M63" i="2" s="1"/>
  <c r="K63" i="2"/>
  <c r="C63" i="2"/>
  <c r="AB62" i="2"/>
  <c r="AC62" i="2" s="1" a="1"/>
  <c r="AC62" i="2" s="1"/>
  <c r="Z62" i="2"/>
  <c r="AA62" i="2" s="1"/>
  <c r="Y62" i="2"/>
  <c r="X62" i="2"/>
  <c r="W62" i="2"/>
  <c r="R62" i="2"/>
  <c r="S62" i="2" s="1"/>
  <c r="Q62" i="2"/>
  <c r="L62" i="2"/>
  <c r="M62" i="2" s="1"/>
  <c r="K62" i="2"/>
  <c r="C62" i="2"/>
  <c r="AB61" i="2"/>
  <c r="AC61" i="2" s="1" a="1"/>
  <c r="AC61" i="2" s="1"/>
  <c r="F57" i="5" s="1"/>
  <c r="Z61" i="2"/>
  <c r="AA61" i="2" s="1"/>
  <c r="Y61" i="2"/>
  <c r="X61" i="2"/>
  <c r="W61" i="2"/>
  <c r="R61" i="2"/>
  <c r="S61" i="2" s="1"/>
  <c r="Q61" i="2"/>
  <c r="L61" i="2"/>
  <c r="M61" i="2" s="1"/>
  <c r="K61" i="2"/>
  <c r="C61" i="2"/>
  <c r="AB60" i="2"/>
  <c r="AC60" i="2" s="1" a="1"/>
  <c r="AC60" i="2" s="1"/>
  <c r="Z60" i="2"/>
  <c r="AA60" i="2" s="1"/>
  <c r="Y60" i="2"/>
  <c r="X60" i="2"/>
  <c r="W60" i="2"/>
  <c r="R60" i="2"/>
  <c r="S60" i="2" s="1"/>
  <c r="Q60" i="2"/>
  <c r="L60" i="2"/>
  <c r="M60" i="2" s="1"/>
  <c r="K60" i="2"/>
  <c r="C60" i="2"/>
  <c r="AB59" i="2"/>
  <c r="AC59" i="2" s="1" a="1"/>
  <c r="AC59" i="2" s="1"/>
  <c r="F55" i="5" s="1"/>
  <c r="Z59" i="2"/>
  <c r="AA59" i="2" s="1"/>
  <c r="Y59" i="2"/>
  <c r="X59" i="2"/>
  <c r="W59" i="2"/>
  <c r="R59" i="2"/>
  <c r="S59" i="2" s="1"/>
  <c r="Q59" i="2"/>
  <c r="L59" i="2"/>
  <c r="M59" i="2" s="1"/>
  <c r="K59" i="2"/>
  <c r="C59" i="2"/>
  <c r="AB58" i="2"/>
  <c r="AC58" i="2" s="1" a="1"/>
  <c r="AC58" i="2" s="1"/>
  <c r="Z58" i="2"/>
  <c r="AA58" i="2" s="1"/>
  <c r="Y58" i="2"/>
  <c r="X58" i="2"/>
  <c r="W58" i="2"/>
  <c r="S58" i="2"/>
  <c r="R58" i="2"/>
  <c r="Q58" i="2"/>
  <c r="L58" i="2"/>
  <c r="M58" i="2" s="1"/>
  <c r="K58" i="2"/>
  <c r="C58" i="2"/>
  <c r="AB57" i="2"/>
  <c r="AC57" i="2" s="1" a="1"/>
  <c r="AC57" i="2" s="1"/>
  <c r="Z57" i="2"/>
  <c r="AA57" i="2" s="1"/>
  <c r="Y57" i="2"/>
  <c r="X57" i="2"/>
  <c r="W57" i="2"/>
  <c r="R57" i="2"/>
  <c r="S57" i="2" s="1"/>
  <c r="Q57" i="2"/>
  <c r="L57" i="2"/>
  <c r="M57" i="2" s="1"/>
  <c r="K57" i="2"/>
  <c r="C57" i="2"/>
  <c r="AB56" i="2"/>
  <c r="AC56" i="2" s="1" a="1"/>
  <c r="AC56" i="2" s="1"/>
  <c r="F52" i="5" s="1"/>
  <c r="Z56" i="2"/>
  <c r="AA56" i="2" s="1"/>
  <c r="Y56" i="2"/>
  <c r="X56" i="2"/>
  <c r="W56" i="2"/>
  <c r="R56" i="2"/>
  <c r="S56" i="2" s="1"/>
  <c r="Q56" i="2"/>
  <c r="L56" i="2"/>
  <c r="M56" i="2" s="1"/>
  <c r="K56" i="2"/>
  <c r="C56" i="2"/>
  <c r="AB55" i="2"/>
  <c r="AC55" i="2" s="1" a="1"/>
  <c r="AC55" i="2" s="1"/>
  <c r="Z55" i="2"/>
  <c r="AA55" i="2" s="1"/>
  <c r="Y55" i="2"/>
  <c r="X55" i="2"/>
  <c r="W55" i="2"/>
  <c r="R55" i="2"/>
  <c r="S55" i="2" s="1"/>
  <c r="Q55" i="2"/>
  <c r="L55" i="2"/>
  <c r="M55" i="2" s="1"/>
  <c r="K55" i="2"/>
  <c r="C55" i="2"/>
  <c r="AB54" i="2"/>
  <c r="AC54" i="2" s="1" a="1"/>
  <c r="AC54" i="2" s="1"/>
  <c r="Z54" i="2"/>
  <c r="AA54" i="2" s="1"/>
  <c r="Y54" i="2"/>
  <c r="X54" i="2"/>
  <c r="W54" i="2"/>
  <c r="R54" i="2"/>
  <c r="S54" i="2" s="1"/>
  <c r="Q54" i="2"/>
  <c r="L54" i="2"/>
  <c r="M54" i="2" s="1"/>
  <c r="K54" i="2"/>
  <c r="C54" i="2"/>
  <c r="AB53" i="2"/>
  <c r="AC53" i="2" s="1" a="1"/>
  <c r="AC53" i="2" s="1"/>
  <c r="F49" i="5" s="1"/>
  <c r="Z53" i="2"/>
  <c r="AA53" i="2" s="1"/>
  <c r="Y53" i="2"/>
  <c r="X53" i="2"/>
  <c r="W53" i="2"/>
  <c r="R53" i="2"/>
  <c r="S53" i="2" s="1"/>
  <c r="Q53" i="2"/>
  <c r="L53" i="2"/>
  <c r="M53" i="2" s="1"/>
  <c r="K53" i="2"/>
  <c r="C53" i="2"/>
  <c r="AB52" i="2"/>
  <c r="AC52" i="2" s="1" a="1"/>
  <c r="AC52" i="2" s="1"/>
  <c r="Z52" i="2"/>
  <c r="AA52" i="2" s="1"/>
  <c r="Y52" i="2"/>
  <c r="X52" i="2"/>
  <c r="W52" i="2"/>
  <c r="R52" i="2"/>
  <c r="S52" i="2" s="1"/>
  <c r="Q52" i="2"/>
  <c r="L52" i="2"/>
  <c r="M52" i="2" s="1"/>
  <c r="K52" i="2"/>
  <c r="C52" i="2"/>
  <c r="AB51" i="2"/>
  <c r="AC51" i="2" s="1" a="1"/>
  <c r="AC51" i="2" s="1"/>
  <c r="F47" i="5" s="1"/>
  <c r="Z51" i="2"/>
  <c r="AA51" i="2" s="1"/>
  <c r="Y51" i="2"/>
  <c r="X51" i="2"/>
  <c r="W51" i="2"/>
  <c r="R51" i="2"/>
  <c r="S51" i="2" s="1"/>
  <c r="Q51" i="2"/>
  <c r="L51" i="2"/>
  <c r="M51" i="2" s="1"/>
  <c r="K51" i="2"/>
  <c r="C51" i="2"/>
  <c r="AB50" i="2"/>
  <c r="AC50" i="2" s="1" a="1"/>
  <c r="AC50" i="2" s="1"/>
  <c r="Z50" i="2"/>
  <c r="AA50" i="2" s="1"/>
  <c r="Y50" i="2"/>
  <c r="X50" i="2"/>
  <c r="W50" i="2"/>
  <c r="S50" i="2"/>
  <c r="R50" i="2"/>
  <c r="Q50" i="2"/>
  <c r="L50" i="2"/>
  <c r="M50" i="2" s="1"/>
  <c r="K50" i="2"/>
  <c r="C50" i="2"/>
  <c r="AB49" i="2"/>
  <c r="AC49" i="2" s="1" a="1"/>
  <c r="AC49" i="2" s="1"/>
  <c r="Z49" i="2"/>
  <c r="AA49" i="2" s="1"/>
  <c r="Y49" i="2"/>
  <c r="X49" i="2"/>
  <c r="W49" i="2"/>
  <c r="R49" i="2"/>
  <c r="S49" i="2" s="1"/>
  <c r="Q49" i="2"/>
  <c r="L49" i="2"/>
  <c r="M49" i="2" s="1"/>
  <c r="K49" i="2"/>
  <c r="C49" i="2"/>
  <c r="AB48" i="2"/>
  <c r="AC48" i="2" s="1" a="1"/>
  <c r="AC48" i="2" s="1"/>
  <c r="F44" i="5" s="1"/>
  <c r="Z48" i="2"/>
  <c r="AA48" i="2" s="1"/>
  <c r="Y48" i="2"/>
  <c r="X48" i="2"/>
  <c r="W48" i="2"/>
  <c r="S48" i="2"/>
  <c r="R48" i="2"/>
  <c r="Q48" i="2"/>
  <c r="L48" i="2"/>
  <c r="M48" i="2" s="1"/>
  <c r="K48" i="2"/>
  <c r="C48" i="2"/>
  <c r="AB47" i="2"/>
  <c r="AC47" i="2" s="1" a="1"/>
  <c r="AC47" i="2" s="1"/>
  <c r="Z47" i="2"/>
  <c r="AA47" i="2" s="1"/>
  <c r="Y47" i="2"/>
  <c r="X47" i="2"/>
  <c r="W47" i="2"/>
  <c r="R47" i="2"/>
  <c r="S47" i="2" s="1"/>
  <c r="Q47" i="2"/>
  <c r="L47" i="2"/>
  <c r="M47" i="2" s="1"/>
  <c r="K47" i="2"/>
  <c r="C47" i="2"/>
  <c r="AB46" i="2"/>
  <c r="AC46" i="2" s="1" a="1"/>
  <c r="AC46" i="2" s="1"/>
  <c r="Z46" i="2"/>
  <c r="AA46" i="2" s="1"/>
  <c r="Y46" i="2"/>
  <c r="X46" i="2"/>
  <c r="W46" i="2"/>
  <c r="R46" i="2"/>
  <c r="S46" i="2" s="1"/>
  <c r="Q46" i="2"/>
  <c r="L46" i="2"/>
  <c r="M46" i="2" s="1"/>
  <c r="K46" i="2"/>
  <c r="C46" i="2"/>
  <c r="AB45" i="2"/>
  <c r="AC45" i="2" s="1" a="1"/>
  <c r="AC45" i="2" s="1"/>
  <c r="F41" i="5" s="1"/>
  <c r="Z45" i="2"/>
  <c r="AA45" i="2" s="1"/>
  <c r="Y45" i="2"/>
  <c r="X45" i="2"/>
  <c r="W45" i="2"/>
  <c r="R45" i="2"/>
  <c r="S45" i="2" s="1"/>
  <c r="Q45" i="2"/>
  <c r="L45" i="2"/>
  <c r="M45" i="2" s="1"/>
  <c r="K45" i="2"/>
  <c r="C45" i="2"/>
  <c r="AB44" i="2"/>
  <c r="AC44" i="2" s="1" a="1"/>
  <c r="AC44" i="2" s="1"/>
  <c r="Z44" i="2"/>
  <c r="AA44" i="2" s="1"/>
  <c r="Y44" i="2"/>
  <c r="X44" i="2"/>
  <c r="W44" i="2"/>
  <c r="R44" i="2"/>
  <c r="S44" i="2" s="1"/>
  <c r="Q44" i="2"/>
  <c r="L44" i="2"/>
  <c r="M44" i="2" s="1"/>
  <c r="K44" i="2"/>
  <c r="C44" i="2"/>
  <c r="AB43" i="2"/>
  <c r="AC43" i="2" s="1" a="1"/>
  <c r="AC43" i="2" s="1"/>
  <c r="F39" i="5" s="1"/>
  <c r="Z43" i="2"/>
  <c r="AA43" i="2" s="1"/>
  <c r="Y43" i="2"/>
  <c r="X43" i="2"/>
  <c r="W43" i="2"/>
  <c r="R43" i="2"/>
  <c r="S43" i="2" s="1"/>
  <c r="Q43" i="2"/>
  <c r="L43" i="2"/>
  <c r="M43" i="2" s="1"/>
  <c r="K43" i="2"/>
  <c r="C43" i="2"/>
  <c r="Z42" i="2"/>
  <c r="AA42" i="2" s="1"/>
  <c r="Y42" i="2"/>
  <c r="X42" i="2"/>
  <c r="W42" i="2"/>
  <c r="Q42" i="2"/>
  <c r="R42" i="2" s="1"/>
  <c r="S42" i="2" s="1"/>
  <c r="K42" i="2"/>
  <c r="C42" i="2"/>
  <c r="Y41" i="2"/>
  <c r="X41" i="2"/>
  <c r="W41" i="2"/>
  <c r="Q41" i="2"/>
  <c r="R41" i="2" s="1"/>
  <c r="S41" i="2" s="1"/>
  <c r="K41" i="2"/>
  <c r="C41" i="2"/>
  <c r="Y40" i="2"/>
  <c r="X40" i="2"/>
  <c r="W40" i="2"/>
  <c r="Q40" i="2"/>
  <c r="R40" i="2" s="1"/>
  <c r="S40" i="2" s="1"/>
  <c r="K40" i="2"/>
  <c r="C40" i="2"/>
  <c r="Y39" i="2"/>
  <c r="Z39" i="2" s="1"/>
  <c r="AA39" i="2" s="1"/>
  <c r="X39" i="2"/>
  <c r="W39" i="2"/>
  <c r="Q39" i="2"/>
  <c r="R39" i="2" s="1"/>
  <c r="S39" i="2" s="1"/>
  <c r="K39" i="2"/>
  <c r="C39" i="2"/>
  <c r="Y38" i="2"/>
  <c r="X38" i="2"/>
  <c r="W38" i="2"/>
  <c r="Q38" i="2"/>
  <c r="R38" i="2" s="1"/>
  <c r="S38" i="2" s="1"/>
  <c r="K38" i="2"/>
  <c r="C38" i="2"/>
  <c r="Y37" i="2"/>
  <c r="X37" i="2"/>
  <c r="W37" i="2"/>
  <c r="Q37" i="2"/>
  <c r="R37" i="2" s="1"/>
  <c r="S37" i="2" s="1"/>
  <c r="K37" i="2"/>
  <c r="C37" i="2"/>
  <c r="Y36" i="2"/>
  <c r="X36" i="2"/>
  <c r="W36" i="2"/>
  <c r="Z36" i="2" s="1"/>
  <c r="AA36" i="2" s="1"/>
  <c r="Q36" i="2"/>
  <c r="R36" i="2" s="1"/>
  <c r="S36" i="2" s="1"/>
  <c r="K36" i="2"/>
  <c r="C36" i="2"/>
  <c r="Y35" i="2"/>
  <c r="X35" i="2"/>
  <c r="W35" i="2"/>
  <c r="Z35" i="2" s="1"/>
  <c r="AA35" i="2" s="1"/>
  <c r="Q35" i="2"/>
  <c r="R35" i="2" s="1"/>
  <c r="S35" i="2" s="1"/>
  <c r="K35" i="2"/>
  <c r="C35" i="2"/>
  <c r="Y34" i="2"/>
  <c r="X34" i="2"/>
  <c r="W34" i="2"/>
  <c r="Z34" i="2" s="1"/>
  <c r="AA34" i="2" s="1"/>
  <c r="Q34" i="2"/>
  <c r="R34" i="2" s="1"/>
  <c r="S34" i="2" s="1"/>
  <c r="K34" i="2"/>
  <c r="C34" i="2"/>
  <c r="Y33" i="2"/>
  <c r="X33" i="2"/>
  <c r="W33" i="2"/>
  <c r="Q33" i="2"/>
  <c r="R33" i="2" s="1"/>
  <c r="S33" i="2" s="1"/>
  <c r="K33" i="2"/>
  <c r="C33" i="2"/>
  <c r="Y32" i="2"/>
  <c r="X32" i="2"/>
  <c r="W32" i="2"/>
  <c r="Q32" i="2"/>
  <c r="R32" i="2" s="1"/>
  <c r="S32" i="2" s="1"/>
  <c r="K32" i="2"/>
  <c r="C32" i="2"/>
  <c r="Y31" i="2"/>
  <c r="X31" i="2"/>
  <c r="W31" i="2"/>
  <c r="Q31" i="2"/>
  <c r="R31" i="2" s="1"/>
  <c r="S31" i="2" s="1"/>
  <c r="K31" i="2"/>
  <c r="C31" i="2"/>
  <c r="Y30" i="2"/>
  <c r="X30" i="2"/>
  <c r="W30" i="2"/>
  <c r="Q30" i="2"/>
  <c r="R30" i="2" s="1"/>
  <c r="S30" i="2" s="1"/>
  <c r="K30" i="2"/>
  <c r="C30" i="2"/>
  <c r="Y29" i="2"/>
  <c r="X29" i="2"/>
  <c r="W29" i="2"/>
  <c r="Z29" i="2" s="1"/>
  <c r="AA29" i="2" s="1"/>
  <c r="Q29" i="2"/>
  <c r="R29" i="2" s="1"/>
  <c r="S29" i="2" s="1"/>
  <c r="K29" i="2"/>
  <c r="C29" i="2"/>
  <c r="Y28" i="2"/>
  <c r="X28" i="2"/>
  <c r="W28" i="2"/>
  <c r="Q28" i="2"/>
  <c r="R28" i="2" s="1"/>
  <c r="S28" i="2" s="1"/>
  <c r="K28" i="2"/>
  <c r="C28" i="2"/>
  <c r="Y27" i="2"/>
  <c r="X27" i="2"/>
  <c r="W27" i="2"/>
  <c r="Z27" i="2" s="1"/>
  <c r="AA27" i="2" s="1"/>
  <c r="Q27" i="2"/>
  <c r="R27" i="2" s="1"/>
  <c r="S27" i="2" s="1"/>
  <c r="K27" i="2"/>
  <c r="C27" i="2"/>
  <c r="Y26" i="2"/>
  <c r="X26" i="2"/>
  <c r="W26" i="2"/>
  <c r="Q26" i="2"/>
  <c r="R26" i="2" s="1"/>
  <c r="S26" i="2" s="1"/>
  <c r="K26" i="2"/>
  <c r="C26" i="2"/>
  <c r="Y25" i="2"/>
  <c r="X25" i="2"/>
  <c r="W25" i="2"/>
  <c r="Q25" i="2"/>
  <c r="R25" i="2" s="1"/>
  <c r="S25" i="2" s="1"/>
  <c r="K25" i="2"/>
  <c r="C25" i="2"/>
  <c r="Y24" i="2"/>
  <c r="X24" i="2"/>
  <c r="W24" i="2"/>
  <c r="Q24" i="2"/>
  <c r="R24" i="2" s="1"/>
  <c r="S24" i="2" s="1"/>
  <c r="K24" i="2"/>
  <c r="C24" i="2"/>
  <c r="Y23" i="2"/>
  <c r="X23" i="2"/>
  <c r="W23" i="2"/>
  <c r="Z23" i="2" s="1"/>
  <c r="AA23" i="2" s="1"/>
  <c r="Q23" i="2"/>
  <c r="R23" i="2" s="1"/>
  <c r="S23" i="2" s="1"/>
  <c r="K23" i="2"/>
  <c r="C23" i="2"/>
  <c r="Y22" i="2"/>
  <c r="X22" i="2"/>
  <c r="W22" i="2"/>
  <c r="Q22" i="2"/>
  <c r="R22" i="2" s="1"/>
  <c r="S22" i="2" s="1"/>
  <c r="K22" i="2"/>
  <c r="C22" i="2"/>
  <c r="Y21" i="2"/>
  <c r="X21" i="2"/>
  <c r="W21" i="2"/>
  <c r="Q21" i="2"/>
  <c r="R21" i="2" s="1"/>
  <c r="S21" i="2" s="1"/>
  <c r="K21" i="2"/>
  <c r="C21" i="2"/>
  <c r="Y20" i="2"/>
  <c r="X20" i="2"/>
  <c r="W20" i="2"/>
  <c r="Q20" i="2"/>
  <c r="R20" i="2" s="1"/>
  <c r="S20" i="2" s="1"/>
  <c r="K20" i="2"/>
  <c r="C20" i="2"/>
  <c r="Y19" i="2"/>
  <c r="X19" i="2"/>
  <c r="W19" i="2"/>
  <c r="Q19" i="2"/>
  <c r="R19" i="2" s="1"/>
  <c r="S19" i="2" s="1"/>
  <c r="K19" i="2"/>
  <c r="C19" i="2"/>
  <c r="Y18" i="2"/>
  <c r="X18" i="2"/>
  <c r="W18" i="2"/>
  <c r="Z18" i="2" s="1"/>
  <c r="AA18" i="2" s="1"/>
  <c r="Q18" i="2"/>
  <c r="K18" i="2"/>
  <c r="C18" i="2"/>
  <c r="Q15" i="2"/>
  <c r="K15" i="2"/>
  <c r="L73" i="2" s="1"/>
  <c r="M73" i="2" s="1"/>
  <c r="J11" i="2"/>
  <c r="AA10" i="2"/>
  <c r="Q10" i="2"/>
  <c r="J10" i="2"/>
  <c r="Z7" i="2"/>
  <c r="F7" i="2"/>
  <c r="Z5" i="2"/>
  <c r="R5" i="2"/>
  <c r="F5" i="2"/>
  <c r="Z32" i="2" l="1"/>
  <c r="AA32" i="2" s="1"/>
  <c r="Z84" i="2"/>
  <c r="AA84" i="2" s="1"/>
  <c r="Z79" i="2"/>
  <c r="AA79" i="2" s="1"/>
  <c r="Z40" i="2"/>
  <c r="AA40" i="2" s="1"/>
  <c r="Z30" i="2"/>
  <c r="AA30" i="2" s="1"/>
  <c r="Z26" i="2"/>
  <c r="AA26" i="2" s="1"/>
  <c r="Z25" i="2"/>
  <c r="AA25" i="2" s="1"/>
  <c r="L77" i="2"/>
  <c r="M77" i="2" s="1"/>
  <c r="L81" i="2"/>
  <c r="M81" i="2" s="1"/>
  <c r="L72" i="2"/>
  <c r="M72" i="2" s="1"/>
  <c r="L76" i="2"/>
  <c r="M76" i="2" s="1"/>
  <c r="L40" i="2"/>
  <c r="M40" i="2" s="1"/>
  <c r="AB40" i="2" s="1"/>
  <c r="AC40" i="2" s="1" a="1"/>
  <c r="AC40" i="2" s="1"/>
  <c r="F36" i="5" s="1"/>
  <c r="L31" i="2"/>
  <c r="M31" i="2" s="1"/>
  <c r="L35" i="2"/>
  <c r="M35" i="2" s="1"/>
  <c r="AB35" i="2" s="1"/>
  <c r="AC35" i="2" s="1" a="1"/>
  <c r="AC35" i="2" s="1"/>
  <c r="F31" i="5" s="1"/>
  <c r="L39" i="2"/>
  <c r="M39" i="2" s="1"/>
  <c r="AB39" i="2" s="1"/>
  <c r="AC39" i="2" s="1" a="1"/>
  <c r="AC39" i="2" s="1"/>
  <c r="F35" i="5" s="1"/>
  <c r="L71" i="2"/>
  <c r="M71" i="2" s="1"/>
  <c r="L22" i="2"/>
  <c r="M22" i="2" s="1"/>
  <c r="L41" i="2"/>
  <c r="M41" i="2" s="1"/>
  <c r="L30" i="2"/>
  <c r="M30" i="2" s="1"/>
  <c r="AB30" i="2" s="1"/>
  <c r="AC30" i="2" s="1" a="1"/>
  <c r="AC30" i="2" s="1"/>
  <c r="F26" i="5" s="1"/>
  <c r="L26" i="2"/>
  <c r="M26" i="2" s="1"/>
  <c r="L21" i="2"/>
  <c r="M21" i="2" s="1"/>
  <c r="L82" i="2"/>
  <c r="M82" i="2" s="1"/>
  <c r="AB82" i="2" s="1"/>
  <c r="AC82" i="2" s="1" a="1"/>
  <c r="AC82" i="2" s="1"/>
  <c r="F78" i="5" s="1"/>
  <c r="Z19" i="2"/>
  <c r="AA19" i="2" s="1"/>
  <c r="L20" i="2"/>
  <c r="M20" i="2" s="1"/>
  <c r="L24" i="2"/>
  <c r="M24" i="2" s="1"/>
  <c r="L38" i="2"/>
  <c r="M38" i="2" s="1"/>
  <c r="L29" i="2"/>
  <c r="M29" i="2" s="1"/>
  <c r="L75" i="2"/>
  <c r="M75" i="2" s="1"/>
  <c r="L37" i="2"/>
  <c r="M37" i="2" s="1"/>
  <c r="L79" i="2"/>
  <c r="M79" i="2" s="1"/>
  <c r="AB79" i="2" s="1"/>
  <c r="AC79" i="2" s="1" a="1"/>
  <c r="AC79" i="2" s="1"/>
  <c r="AD79" i="2" s="1"/>
  <c r="L84" i="2"/>
  <c r="M84" i="2" s="1"/>
  <c r="AB84" i="2" s="1"/>
  <c r="AC84" i="2" s="1" a="1"/>
  <c r="AC84" i="2" s="1"/>
  <c r="F80" i="5" s="1"/>
  <c r="L32" i="2"/>
  <c r="M32" i="2" s="1"/>
  <c r="L78" i="2"/>
  <c r="M78" i="2" s="1"/>
  <c r="AB78" i="2" s="1"/>
  <c r="AC78" i="2" s="1" a="1"/>
  <c r="AC78" i="2" s="1"/>
  <c r="F74" i="5" s="1"/>
  <c r="L83" i="2"/>
  <c r="M83" i="2" s="1"/>
  <c r="L25" i="2"/>
  <c r="M25" i="2" s="1"/>
  <c r="AB25" i="2" s="1"/>
  <c r="AC25" i="2" s="1" a="1"/>
  <c r="AC25" i="2" s="1"/>
  <c r="L34" i="2"/>
  <c r="M34" i="2" s="1"/>
  <c r="AB34" i="2" s="1"/>
  <c r="AC34" i="2" s="1" a="1"/>
  <c r="AC34" i="2" s="1"/>
  <c r="L70" i="2"/>
  <c r="M70" i="2" s="1"/>
  <c r="AB70" i="2" s="1"/>
  <c r="AC70" i="2" s="1" a="1"/>
  <c r="AC70" i="2" s="1"/>
  <c r="F66" i="5" s="1"/>
  <c r="L80" i="2"/>
  <c r="M80" i="2" s="1"/>
  <c r="AB80" i="2" s="1"/>
  <c r="AC80" i="2" s="1" a="1"/>
  <c r="AC80" i="2" s="1"/>
  <c r="L19" i="2"/>
  <c r="M19" i="2" s="1"/>
  <c r="AB19" i="2" s="1"/>
  <c r="AC19" i="2" s="1" a="1"/>
  <c r="AC19" i="2" s="1"/>
  <c r="F15" i="5" s="1"/>
  <c r="L28" i="2"/>
  <c r="M28" i="2" s="1"/>
  <c r="L33" i="2"/>
  <c r="M33" i="2" s="1"/>
  <c r="L69" i="2"/>
  <c r="M69" i="2" s="1"/>
  <c r="AB69" i="2" s="1"/>
  <c r="AC69" i="2" s="1" a="1"/>
  <c r="AC69" i="2" s="1"/>
  <c r="L74" i="2"/>
  <c r="M74" i="2" s="1"/>
  <c r="AB74" i="2" s="1"/>
  <c r="AC74" i="2" s="1" a="1"/>
  <c r="AC74" i="2" s="1"/>
  <c r="L18" i="2"/>
  <c r="M18" i="2" s="1"/>
  <c r="L23" i="2"/>
  <c r="M23" i="2" s="1"/>
  <c r="AB23" i="2" s="1"/>
  <c r="AC23" i="2" s="1" a="1"/>
  <c r="AC23" i="2" s="1"/>
  <c r="AD23" i="2" s="1"/>
  <c r="L42" i="2"/>
  <c r="M42" i="2" s="1"/>
  <c r="AB42" i="2" s="1"/>
  <c r="AC42" i="2" s="1" a="1"/>
  <c r="AC42" i="2" s="1"/>
  <c r="F38" i="5" s="1"/>
  <c r="L27" i="2"/>
  <c r="M27" i="2" s="1"/>
  <c r="AB27" i="2" s="1"/>
  <c r="AC27" i="2" s="1" a="1"/>
  <c r="AC27" i="2" s="1"/>
  <c r="F23" i="5" s="1"/>
  <c r="L36" i="2"/>
  <c r="M36" i="2" s="1"/>
  <c r="Z20" i="2"/>
  <c r="AA20" i="2" s="1"/>
  <c r="AB20" i="2" s="1"/>
  <c r="AC20" i="2" s="1" a="1"/>
  <c r="AC20" i="2" s="1"/>
  <c r="F16" i="5" s="1"/>
  <c r="Z24" i="2"/>
  <c r="AA24" i="2" s="1"/>
  <c r="AB24" i="2" s="1"/>
  <c r="AC24" i="2" s="1" a="1"/>
  <c r="AC24" i="2" s="1"/>
  <c r="F20" i="5" s="1"/>
  <c r="Z38" i="2"/>
  <c r="AA38" i="2" s="1"/>
  <c r="AB38" i="2" s="1"/>
  <c r="AC38" i="2" s="1" a="1"/>
  <c r="AC38" i="2" s="1"/>
  <c r="F34" i="5" s="1"/>
  <c r="Z75" i="2"/>
  <c r="AA75" i="2" s="1"/>
  <c r="Z80" i="2"/>
  <c r="AA80" i="2" s="1"/>
  <c r="Z76" i="2"/>
  <c r="AA76" i="2" s="1"/>
  <c r="Z81" i="2"/>
  <c r="AA81" i="2" s="1"/>
  <c r="AB81" i="2" s="1"/>
  <c r="AC81" i="2" s="1" a="1"/>
  <c r="AC81" i="2" s="1"/>
  <c r="F77" i="5" s="1"/>
  <c r="Z21" i="2"/>
  <c r="AA21" i="2" s="1"/>
  <c r="Z28" i="2"/>
  <c r="AA28" i="2" s="1"/>
  <c r="AB28" i="2" s="1"/>
  <c r="AC28" i="2" s="1" a="1"/>
  <c r="AC28" i="2" s="1"/>
  <c r="AD28" i="2" s="1"/>
  <c r="Z33" i="2"/>
  <c r="AA33" i="2" s="1"/>
  <c r="AB33" i="2" s="1"/>
  <c r="AC33" i="2" s="1" a="1"/>
  <c r="AC33" i="2" s="1"/>
  <c r="F29" i="5" s="1"/>
  <c r="Z37" i="2"/>
  <c r="AA37" i="2" s="1"/>
  <c r="Z41" i="2"/>
  <c r="AA41" i="2" s="1"/>
  <c r="Z73" i="2"/>
  <c r="AA73" i="2" s="1"/>
  <c r="AB73" i="2" s="1"/>
  <c r="AC73" i="2" s="1" a="1"/>
  <c r="AC73" i="2" s="1"/>
  <c r="AD73" i="2" s="1"/>
  <c r="Z22" i="2"/>
  <c r="AA22" i="2" s="1"/>
  <c r="AB22" i="2" s="1"/>
  <c r="AC22" i="2" s="1" a="1"/>
  <c r="AC22" i="2" s="1"/>
  <c r="AD22" i="2" s="1"/>
  <c r="Z31" i="2"/>
  <c r="AA31" i="2" s="1"/>
  <c r="AB31" i="2" s="1"/>
  <c r="AC31" i="2" s="1" a="1"/>
  <c r="AC31" i="2" s="1"/>
  <c r="Z69" i="2"/>
  <c r="AA69" i="2" s="1"/>
  <c r="Z72" i="2"/>
  <c r="AA72" i="2" s="1"/>
  <c r="Z71" i="2"/>
  <c r="AA71" i="2" s="1"/>
  <c r="AB77" i="2"/>
  <c r="AC77" i="2" s="1" a="1"/>
  <c r="AC77" i="2" s="1"/>
  <c r="AD77" i="2" s="1"/>
  <c r="AB83" i="2"/>
  <c r="AC83" i="2" s="1" a="1"/>
  <c r="AC83" i="2" s="1"/>
  <c r="F79" i="5" s="1"/>
  <c r="AB29" i="2"/>
  <c r="AC29" i="2" s="1" a="1"/>
  <c r="AC29" i="2" s="1"/>
  <c r="F25" i="5" s="1"/>
  <c r="AB41" i="2"/>
  <c r="AC41" i="2" s="1" a="1"/>
  <c r="AC41" i="2" s="1"/>
  <c r="AD41" i="2" s="1"/>
  <c r="AB36" i="2"/>
  <c r="AC36" i="2" s="1" a="1"/>
  <c r="AC36" i="2" s="1"/>
  <c r="AD36" i="2" s="1"/>
  <c r="AB32" i="2"/>
  <c r="AC32" i="2" s="1" a="1"/>
  <c r="AC32" i="2" s="1"/>
  <c r="F28" i="5" s="1"/>
  <c r="F106" i="5"/>
  <c r="AD110" i="2"/>
  <c r="G34" i="5"/>
  <c r="AD38" i="3"/>
  <c r="G50" i="5"/>
  <c r="AD54" i="3"/>
  <c r="G67" i="5"/>
  <c r="AD71" i="3"/>
  <c r="F58" i="5"/>
  <c r="AD62" i="2"/>
  <c r="F61" i="5"/>
  <c r="AD65" i="2"/>
  <c r="F88" i="5"/>
  <c r="AD92" i="2"/>
  <c r="F91" i="5"/>
  <c r="AD95" i="2"/>
  <c r="F94" i="5"/>
  <c r="AD98" i="2"/>
  <c r="F82" i="5"/>
  <c r="AD86" i="2"/>
  <c r="F108" i="5"/>
  <c r="AD112" i="2"/>
  <c r="F111" i="5"/>
  <c r="AD115" i="2"/>
  <c r="F114" i="5"/>
  <c r="AD118" i="2"/>
  <c r="G76" i="5"/>
  <c r="AD80" i="3"/>
  <c r="F90" i="5"/>
  <c r="AD94" i="2"/>
  <c r="G42" i="5"/>
  <c r="AD46" i="3"/>
  <c r="G58" i="5"/>
  <c r="AD62" i="3"/>
  <c r="G75" i="5"/>
  <c r="AD79" i="3"/>
  <c r="F100" i="5"/>
  <c r="AD104" i="2"/>
  <c r="F42" i="5"/>
  <c r="AD46" i="2"/>
  <c r="F45" i="5"/>
  <c r="AD49" i="2"/>
  <c r="F48" i="5"/>
  <c r="AD52" i="2"/>
  <c r="F54" i="5"/>
  <c r="AD58" i="2"/>
  <c r="F96" i="5"/>
  <c r="AD100" i="2"/>
  <c r="F102" i="5"/>
  <c r="AD106" i="2"/>
  <c r="F84" i="5"/>
  <c r="AD88" i="2"/>
  <c r="F104" i="5"/>
  <c r="AD108" i="2"/>
  <c r="F107" i="5"/>
  <c r="AD111" i="2"/>
  <c r="F110" i="5"/>
  <c r="AD114" i="2"/>
  <c r="F43" i="5"/>
  <c r="AD47" i="2"/>
  <c r="F46" i="5"/>
  <c r="AD50" i="2"/>
  <c r="F103" i="5"/>
  <c r="AD107" i="2"/>
  <c r="G35" i="5"/>
  <c r="AD39" i="3"/>
  <c r="G68" i="5"/>
  <c r="AD72" i="3"/>
  <c r="F98" i="5"/>
  <c r="AD102" i="2"/>
  <c r="F40" i="5"/>
  <c r="AD44" i="2"/>
  <c r="F51" i="5"/>
  <c r="AD55" i="2"/>
  <c r="F63" i="5"/>
  <c r="AD67" i="2"/>
  <c r="F99" i="5"/>
  <c r="AD103" i="2"/>
  <c r="G51" i="5"/>
  <c r="AD55" i="3"/>
  <c r="F87" i="5"/>
  <c r="AD91" i="2"/>
  <c r="F50" i="5"/>
  <c r="AD54" i="2"/>
  <c r="F53" i="5"/>
  <c r="AD57" i="2"/>
  <c r="F56" i="5"/>
  <c r="AD60" i="2"/>
  <c r="F59" i="5"/>
  <c r="AD63" i="2"/>
  <c r="F62" i="5"/>
  <c r="AD66" i="2"/>
  <c r="F92" i="5"/>
  <c r="AD96" i="2"/>
  <c r="F95" i="5"/>
  <c r="AD99" i="2"/>
  <c r="F83" i="5"/>
  <c r="I83" i="5" s="1"/>
  <c r="AD87" i="2"/>
  <c r="F86" i="5"/>
  <c r="AD90" i="2"/>
  <c r="F112" i="5"/>
  <c r="AD116" i="2"/>
  <c r="G43" i="5"/>
  <c r="AD47" i="3"/>
  <c r="G59" i="5"/>
  <c r="AD63" i="3"/>
  <c r="G20" i="5"/>
  <c r="AD24" i="3"/>
  <c r="G30" i="5"/>
  <c r="AD34" i="3"/>
  <c r="G46" i="5"/>
  <c r="AD50" i="3"/>
  <c r="G71" i="5"/>
  <c r="AD75" i="3"/>
  <c r="G84" i="5"/>
  <c r="AD88" i="3"/>
  <c r="G88" i="5"/>
  <c r="AD92" i="3"/>
  <c r="G92" i="5"/>
  <c r="AD96" i="3"/>
  <c r="G96" i="5"/>
  <c r="AD100" i="3"/>
  <c r="G100" i="5"/>
  <c r="AD104" i="3"/>
  <c r="AD43" i="2"/>
  <c r="AD51" i="2"/>
  <c r="AD59" i="2"/>
  <c r="AD87" i="3"/>
  <c r="G83" i="5"/>
  <c r="G102" i="5"/>
  <c r="AD106" i="3"/>
  <c r="G113" i="5"/>
  <c r="AD117" i="3"/>
  <c r="H18" i="5"/>
  <c r="AD22" i="4"/>
  <c r="H21" i="5"/>
  <c r="AD25" i="4"/>
  <c r="R18" i="2"/>
  <c r="S18" i="2" s="1"/>
  <c r="G31" i="5"/>
  <c r="AD35" i="3"/>
  <c r="G36" i="5"/>
  <c r="AD40" i="3"/>
  <c r="G39" i="5"/>
  <c r="I39" i="5" s="1"/>
  <c r="AD43" i="3"/>
  <c r="G44" i="5"/>
  <c r="AD48" i="3"/>
  <c r="G47" i="5"/>
  <c r="AD51" i="3"/>
  <c r="AD56" i="3"/>
  <c r="G52" i="5"/>
  <c r="G55" i="5"/>
  <c r="AD59" i="3"/>
  <c r="G60" i="5"/>
  <c r="AD64" i="3"/>
  <c r="G63" i="5"/>
  <c r="AD67" i="3"/>
  <c r="G69" i="5"/>
  <c r="AD73" i="3"/>
  <c r="G72" i="5"/>
  <c r="AD76" i="3"/>
  <c r="G14" i="5"/>
  <c r="AD18" i="3"/>
  <c r="G26" i="5"/>
  <c r="AD30" i="3"/>
  <c r="G38" i="5"/>
  <c r="AD42" i="3"/>
  <c r="G54" i="5"/>
  <c r="AD58" i="3"/>
  <c r="G62" i="5"/>
  <c r="AD66" i="3"/>
  <c r="F60" i="5"/>
  <c r="AD64" i="2"/>
  <c r="F85" i="5"/>
  <c r="AD89" i="2"/>
  <c r="F101" i="5"/>
  <c r="AD105" i="2"/>
  <c r="F105" i="5"/>
  <c r="AD109" i="2"/>
  <c r="F109" i="5"/>
  <c r="I109" i="5" s="1"/>
  <c r="AD113" i="2"/>
  <c r="F113" i="5"/>
  <c r="I113" i="5" s="1"/>
  <c r="AD117" i="2"/>
  <c r="H16" i="5"/>
  <c r="AD20" i="4"/>
  <c r="H24" i="5"/>
  <c r="AD28" i="4"/>
  <c r="H36" i="5"/>
  <c r="AD40" i="4"/>
  <c r="H44" i="5"/>
  <c r="AD48" i="4"/>
  <c r="H58" i="5"/>
  <c r="AD62" i="4"/>
  <c r="H67" i="5"/>
  <c r="AD71" i="4"/>
  <c r="H75" i="5"/>
  <c r="AD79" i="4"/>
  <c r="H83" i="5"/>
  <c r="AD87" i="4"/>
  <c r="H91" i="5"/>
  <c r="AD95" i="4"/>
  <c r="H99" i="5"/>
  <c r="AD103" i="4"/>
  <c r="H107" i="5"/>
  <c r="AD111" i="4"/>
  <c r="G16" i="5"/>
  <c r="AD20" i="3"/>
  <c r="G22" i="5"/>
  <c r="AD26" i="3"/>
  <c r="G28" i="5"/>
  <c r="AD32" i="3"/>
  <c r="F81" i="5"/>
  <c r="I81" i="5" s="1"/>
  <c r="AD85" i="2"/>
  <c r="F89" i="5"/>
  <c r="AD93" i="2"/>
  <c r="F93" i="5"/>
  <c r="I93" i="5" s="1"/>
  <c r="AD97" i="2"/>
  <c r="F97" i="5"/>
  <c r="AD101" i="2"/>
  <c r="AD56" i="2"/>
  <c r="I55" i="5"/>
  <c r="G18" i="5"/>
  <c r="AD22" i="3"/>
  <c r="G24" i="5"/>
  <c r="AD28" i="3"/>
  <c r="I44" i="5"/>
  <c r="I52" i="5"/>
  <c r="AD48" i="2"/>
  <c r="G15" i="5"/>
  <c r="AD19" i="3"/>
  <c r="G19" i="5"/>
  <c r="AD23" i="3"/>
  <c r="G23" i="5"/>
  <c r="AD27" i="3"/>
  <c r="G25" i="5"/>
  <c r="AD29" i="3"/>
  <c r="G29" i="5"/>
  <c r="AD33" i="3"/>
  <c r="G37" i="5"/>
  <c r="AD41" i="3"/>
  <c r="G45" i="5"/>
  <c r="AD49" i="3"/>
  <c r="G53" i="5"/>
  <c r="AD57" i="3"/>
  <c r="G70" i="5"/>
  <c r="AD74" i="3"/>
  <c r="G82" i="5"/>
  <c r="AD86" i="3"/>
  <c r="H14" i="5"/>
  <c r="AD18" i="4"/>
  <c r="H19" i="5"/>
  <c r="AD23" i="4"/>
  <c r="H22" i="5"/>
  <c r="AD26" i="4"/>
  <c r="G81" i="5"/>
  <c r="AD85" i="3"/>
  <c r="G17" i="5"/>
  <c r="AD21" i="3"/>
  <c r="G21" i="5"/>
  <c r="AD25" i="3"/>
  <c r="G27" i="5"/>
  <c r="AD31" i="3"/>
  <c r="G61" i="5"/>
  <c r="AD65" i="3"/>
  <c r="I41" i="5"/>
  <c r="G33" i="5"/>
  <c r="AD37" i="3"/>
  <c r="G41" i="5"/>
  <c r="AD45" i="3"/>
  <c r="G49" i="5"/>
  <c r="AD53" i="3"/>
  <c r="G57" i="5"/>
  <c r="AD61" i="3"/>
  <c r="G66" i="5"/>
  <c r="AD70" i="3"/>
  <c r="G74" i="5"/>
  <c r="AD78" i="3"/>
  <c r="G77" i="5"/>
  <c r="AD81" i="3"/>
  <c r="H17" i="5"/>
  <c r="AD21" i="4"/>
  <c r="H20" i="5"/>
  <c r="AD24" i="4"/>
  <c r="AD29" i="4"/>
  <c r="H25" i="5"/>
  <c r="H37" i="5"/>
  <c r="AD41" i="4"/>
  <c r="AD49" i="4"/>
  <c r="H45" i="5"/>
  <c r="H57" i="5"/>
  <c r="I57" i="5" s="1"/>
  <c r="AD61" i="4"/>
  <c r="H66" i="5"/>
  <c r="AD70" i="4"/>
  <c r="H74" i="5"/>
  <c r="AD78" i="4"/>
  <c r="H82" i="5"/>
  <c r="AD86" i="4"/>
  <c r="H90" i="5"/>
  <c r="AD94" i="4"/>
  <c r="H98" i="5"/>
  <c r="AD102" i="4"/>
  <c r="H106" i="5"/>
  <c r="AD110" i="4"/>
  <c r="AD45" i="2"/>
  <c r="AD53" i="2"/>
  <c r="AD61" i="2"/>
  <c r="G32" i="5"/>
  <c r="AD36" i="3"/>
  <c r="G40" i="5"/>
  <c r="AD44" i="3"/>
  <c r="G48" i="5"/>
  <c r="AD52" i="3"/>
  <c r="G56" i="5"/>
  <c r="AD60" i="3"/>
  <c r="G65" i="5"/>
  <c r="AD69" i="3"/>
  <c r="G73" i="5"/>
  <c r="AD77" i="3"/>
  <c r="G105" i="5"/>
  <c r="AD109" i="3"/>
  <c r="H15" i="5"/>
  <c r="AD19" i="4"/>
  <c r="H23" i="5"/>
  <c r="AD27" i="4"/>
  <c r="AD31" i="4"/>
  <c r="H27" i="5"/>
  <c r="AD33" i="4"/>
  <c r="H29" i="5"/>
  <c r="H31" i="5"/>
  <c r="AD35" i="4"/>
  <c r="H39" i="5"/>
  <c r="AD43" i="4"/>
  <c r="H47" i="5"/>
  <c r="I47" i="5" s="1"/>
  <c r="AD51" i="4"/>
  <c r="H55" i="5"/>
  <c r="AD59" i="4"/>
  <c r="H63" i="5"/>
  <c r="AD67" i="4"/>
  <c r="H72" i="5"/>
  <c r="AD76" i="4"/>
  <c r="H80" i="5"/>
  <c r="AD84" i="4"/>
  <c r="H88" i="5"/>
  <c r="AD92" i="4"/>
  <c r="H96" i="5"/>
  <c r="AD100" i="4"/>
  <c r="H104" i="5"/>
  <c r="AD108" i="4"/>
  <c r="H110" i="5"/>
  <c r="AD114" i="4"/>
  <c r="G87" i="5"/>
  <c r="AD91" i="3"/>
  <c r="G91" i="5"/>
  <c r="AD95" i="3"/>
  <c r="G95" i="5"/>
  <c r="AD99" i="3"/>
  <c r="AD103" i="3"/>
  <c r="G99" i="5"/>
  <c r="G112" i="5"/>
  <c r="AD116" i="3"/>
  <c r="H34" i="5"/>
  <c r="AD38" i="4"/>
  <c r="H42" i="5"/>
  <c r="AD46" i="4"/>
  <c r="H50" i="5"/>
  <c r="AD54" i="4"/>
  <c r="H52" i="5"/>
  <c r="AD56" i="4"/>
  <c r="H60" i="5"/>
  <c r="AD64" i="4"/>
  <c r="H69" i="5"/>
  <c r="AD73" i="4"/>
  <c r="H77" i="5"/>
  <c r="AD81" i="4"/>
  <c r="H85" i="5"/>
  <c r="AD89" i="4"/>
  <c r="H93" i="5"/>
  <c r="AD97" i="4"/>
  <c r="H101" i="5"/>
  <c r="AD105" i="4"/>
  <c r="G80" i="5"/>
  <c r="AD84" i="3"/>
  <c r="G86" i="5"/>
  <c r="AD90" i="3"/>
  <c r="G90" i="5"/>
  <c r="AD94" i="3"/>
  <c r="G94" i="5"/>
  <c r="AD98" i="3"/>
  <c r="G98" i="5"/>
  <c r="AD102" i="3"/>
  <c r="G108" i="5"/>
  <c r="AD112" i="3"/>
  <c r="H26" i="5"/>
  <c r="AD30" i="4"/>
  <c r="H28" i="5"/>
  <c r="AD32" i="4"/>
  <c r="H32" i="5"/>
  <c r="AD36" i="4"/>
  <c r="H40" i="5"/>
  <c r="AD44" i="4"/>
  <c r="H48" i="5"/>
  <c r="AD52" i="4"/>
  <c r="H54" i="5"/>
  <c r="AD58" i="4"/>
  <c r="H62" i="5"/>
  <c r="AD66" i="4"/>
  <c r="H71" i="5"/>
  <c r="AD75" i="4"/>
  <c r="H79" i="5"/>
  <c r="AD83" i="4"/>
  <c r="H87" i="5"/>
  <c r="AD91" i="4"/>
  <c r="H95" i="5"/>
  <c r="AD99" i="4"/>
  <c r="H103" i="5"/>
  <c r="AD107" i="4"/>
  <c r="G79" i="5"/>
  <c r="AD83" i="3"/>
  <c r="H30" i="5"/>
  <c r="AD34" i="4"/>
  <c r="H35" i="5"/>
  <c r="AD39" i="4"/>
  <c r="H43" i="5"/>
  <c r="AD47" i="4"/>
  <c r="H51" i="5"/>
  <c r="AD55" i="4"/>
  <c r="H59" i="5"/>
  <c r="AD63" i="4"/>
  <c r="H68" i="5"/>
  <c r="AD72" i="4"/>
  <c r="H76" i="5"/>
  <c r="AD80" i="4"/>
  <c r="H84" i="5"/>
  <c r="AD88" i="4"/>
  <c r="H92" i="5"/>
  <c r="AD96" i="4"/>
  <c r="H100" i="5"/>
  <c r="AD104" i="4"/>
  <c r="H108" i="5"/>
  <c r="AD112" i="4"/>
  <c r="G78" i="5"/>
  <c r="AD82" i="3"/>
  <c r="G85" i="5"/>
  <c r="AD89" i="3"/>
  <c r="G89" i="5"/>
  <c r="AD93" i="3"/>
  <c r="G93" i="5"/>
  <c r="AD97" i="3"/>
  <c r="G97" i="5"/>
  <c r="AD101" i="3"/>
  <c r="G104" i="5"/>
  <c r="AD108" i="3"/>
  <c r="H38" i="5"/>
  <c r="AD42" i="4"/>
  <c r="H46" i="5"/>
  <c r="AD50" i="4"/>
  <c r="H56" i="5"/>
  <c r="AD60" i="4"/>
  <c r="H65" i="5"/>
  <c r="AD69" i="4"/>
  <c r="H73" i="5"/>
  <c r="AD77" i="4"/>
  <c r="H81" i="5"/>
  <c r="AD85" i="4"/>
  <c r="H89" i="5"/>
  <c r="AD93" i="4"/>
  <c r="H97" i="5"/>
  <c r="AD101" i="4"/>
  <c r="H105" i="5"/>
  <c r="AD109" i="4"/>
  <c r="H111" i="5"/>
  <c r="AD115" i="4"/>
  <c r="H114" i="5"/>
  <c r="AD118" i="4"/>
  <c r="AD105" i="3"/>
  <c r="AD118" i="3"/>
  <c r="H33" i="5"/>
  <c r="AD37" i="4"/>
  <c r="H41" i="5"/>
  <c r="AD45" i="4"/>
  <c r="H49" i="5"/>
  <c r="I49" i="5" s="1"/>
  <c r="AD53" i="4"/>
  <c r="AD57" i="4"/>
  <c r="H53" i="5"/>
  <c r="AD65" i="4"/>
  <c r="H61" i="5"/>
  <c r="H70" i="5"/>
  <c r="AD74" i="4"/>
  <c r="H78" i="5"/>
  <c r="AD82" i="4"/>
  <c r="H86" i="5"/>
  <c r="AD90" i="4"/>
  <c r="H94" i="5"/>
  <c r="AD98" i="4"/>
  <c r="H102" i="5"/>
  <c r="AD106" i="4"/>
  <c r="H112" i="5"/>
  <c r="AD116" i="4"/>
  <c r="AD117" i="4"/>
  <c r="AB26" i="2" l="1"/>
  <c r="AC26" i="2" s="1" a="1"/>
  <c r="AC26" i="2" s="1"/>
  <c r="F22" i="5" s="1"/>
  <c r="I22" i="5" s="1"/>
  <c r="AD83" i="2"/>
  <c r="AD78" i="2"/>
  <c r="AB76" i="2"/>
  <c r="AC76" i="2" s="1" a="1"/>
  <c r="AC76" i="2" s="1"/>
  <c r="F72" i="5" s="1"/>
  <c r="I72" i="5" s="1"/>
  <c r="AB75" i="2"/>
  <c r="AC75" i="2" s="1" a="1"/>
  <c r="AC75" i="2" s="1"/>
  <c r="F71" i="5" s="1"/>
  <c r="I71" i="5" s="1"/>
  <c r="AB72" i="2"/>
  <c r="AC72" i="2" s="1" a="1"/>
  <c r="AC72" i="2" s="1"/>
  <c r="AD72" i="2" s="1"/>
  <c r="AB71" i="2"/>
  <c r="AC71" i="2" s="1" a="1"/>
  <c r="AC71" i="2" s="1"/>
  <c r="F67" i="5" s="1"/>
  <c r="I67" i="5" s="1"/>
  <c r="AB37" i="2"/>
  <c r="AC37" i="2" s="1" a="1"/>
  <c r="AC37" i="2" s="1"/>
  <c r="F33" i="5" s="1"/>
  <c r="I33" i="5" s="1"/>
  <c r="K33" i="5" s="1"/>
  <c r="F73" i="5"/>
  <c r="F69" i="5"/>
  <c r="I69" i="5" s="1"/>
  <c r="K69" i="5" s="1"/>
  <c r="AD33" i="2"/>
  <c r="F65" i="5"/>
  <c r="I65" i="5" s="1"/>
  <c r="AD69" i="2"/>
  <c r="F32" i="5"/>
  <c r="I32" i="5" s="1"/>
  <c r="F24" i="5"/>
  <c r="I24" i="5" s="1"/>
  <c r="AD24" i="2"/>
  <c r="AB18" i="2"/>
  <c r="AC18" i="2" s="1" a="1"/>
  <c r="AC18" i="2" s="1"/>
  <c r="AD18" i="2" s="1"/>
  <c r="I20" i="5"/>
  <c r="K20" i="5" s="1"/>
  <c r="AB21" i="2"/>
  <c r="AC21" i="2" s="1" a="1"/>
  <c r="AC21" i="2" s="1"/>
  <c r="F17" i="5" s="1"/>
  <c r="I17" i="5" s="1"/>
  <c r="J17" i="5" s="1" a="1"/>
  <c r="J17" i="5" s="1"/>
  <c r="AD20" i="2"/>
  <c r="AD74" i="2"/>
  <c r="F70" i="5"/>
  <c r="I70" i="5" s="1"/>
  <c r="F21" i="5"/>
  <c r="I21" i="5" s="1"/>
  <c r="AD25" i="2"/>
  <c r="I25" i="5"/>
  <c r="K25" i="5" s="1"/>
  <c r="AD29" i="2"/>
  <c r="AD82" i="2"/>
  <c r="F30" i="5"/>
  <c r="I30" i="5" s="1"/>
  <c r="AD34" i="2"/>
  <c r="F76" i="5"/>
  <c r="I76" i="5" s="1"/>
  <c r="AD80" i="2"/>
  <c r="F19" i="5"/>
  <c r="I19" i="5" s="1"/>
  <c r="F27" i="5"/>
  <c r="I27" i="5" s="1"/>
  <c r="AD31" i="2"/>
  <c r="F37" i="5"/>
  <c r="I37" i="5" s="1"/>
  <c r="I15" i="5"/>
  <c r="J15" i="5" s="1" a="1"/>
  <c r="J15" i="5" s="1"/>
  <c r="AD84" i="2"/>
  <c r="AD35" i="2"/>
  <c r="AD40" i="2"/>
  <c r="I36" i="5"/>
  <c r="J36" i="5" s="1" a="1"/>
  <c r="J36" i="5" s="1"/>
  <c r="AD32" i="2"/>
  <c r="AD42" i="2"/>
  <c r="AD39" i="2"/>
  <c r="AD38" i="2"/>
  <c r="F75" i="5"/>
  <c r="I75" i="5" s="1"/>
  <c r="AD81" i="2"/>
  <c r="AD70" i="2"/>
  <c r="AD19" i="2"/>
  <c r="F18" i="5"/>
  <c r="I18" i="5" s="1"/>
  <c r="I23" i="5"/>
  <c r="J23" i="5" s="1" a="1"/>
  <c r="J23" i="5" s="1"/>
  <c r="I31" i="5"/>
  <c r="K31" i="5" s="1"/>
  <c r="I28" i="5"/>
  <c r="J28" i="5" s="1" a="1"/>
  <c r="J28" i="5" s="1"/>
  <c r="AD30" i="2"/>
  <c r="AD27" i="2"/>
  <c r="K39" i="5"/>
  <c r="J39" i="5" a="1"/>
  <c r="J39" i="5" s="1"/>
  <c r="K15" i="5"/>
  <c r="K57" i="5"/>
  <c r="J57" i="5" a="1"/>
  <c r="J57" i="5" s="1"/>
  <c r="K49" i="5"/>
  <c r="J49" i="5" a="1"/>
  <c r="J49" i="5" s="1"/>
  <c r="K47" i="5"/>
  <c r="J47" i="5" a="1"/>
  <c r="J47" i="5" s="1"/>
  <c r="K83" i="5"/>
  <c r="J83" i="5" a="1"/>
  <c r="J83" i="5" s="1"/>
  <c r="I16" i="5"/>
  <c r="I62" i="5"/>
  <c r="I50" i="5"/>
  <c r="I40" i="5"/>
  <c r="K52" i="5"/>
  <c r="J52" i="5" a="1"/>
  <c r="J52" i="5" s="1"/>
  <c r="K109" i="5"/>
  <c r="J109" i="5" a="1"/>
  <c r="J109" i="5" s="1"/>
  <c r="I60" i="5"/>
  <c r="K41" i="5"/>
  <c r="J41" i="5" a="1"/>
  <c r="J41" i="5" s="1"/>
  <c r="K44" i="5"/>
  <c r="J44" i="5" a="1"/>
  <c r="J44" i="5" s="1"/>
  <c r="I89" i="5"/>
  <c r="I74" i="5"/>
  <c r="I43" i="5"/>
  <c r="I104" i="5"/>
  <c r="I42" i="5"/>
  <c r="I114" i="5"/>
  <c r="I79" i="5"/>
  <c r="I91" i="5"/>
  <c r="K65" i="5"/>
  <c r="J65" i="5" a="1"/>
  <c r="J65" i="5" s="1"/>
  <c r="K55" i="5"/>
  <c r="J55" i="5" a="1"/>
  <c r="J55" i="5" s="1"/>
  <c r="I105" i="5"/>
  <c r="I80" i="5"/>
  <c r="I95" i="5"/>
  <c r="I59" i="5"/>
  <c r="I38" i="5"/>
  <c r="I99" i="5"/>
  <c r="I98" i="5"/>
  <c r="I78" i="5"/>
  <c r="I84" i="5"/>
  <c r="I54" i="5"/>
  <c r="I100" i="5"/>
  <c r="I111" i="5"/>
  <c r="I88" i="5"/>
  <c r="I112" i="5"/>
  <c r="I92" i="5"/>
  <c r="I56" i="5"/>
  <c r="I29" i="5"/>
  <c r="I63" i="5"/>
  <c r="K81" i="5"/>
  <c r="J81" i="5" a="1"/>
  <c r="J81" i="5" s="1"/>
  <c r="I101" i="5"/>
  <c r="I73" i="5"/>
  <c r="I97" i="5"/>
  <c r="I35" i="5"/>
  <c r="I110" i="5"/>
  <c r="I102" i="5"/>
  <c r="I48" i="5"/>
  <c r="I34" i="5"/>
  <c r="I90" i="5"/>
  <c r="I108" i="5"/>
  <c r="I61" i="5"/>
  <c r="K93" i="5"/>
  <c r="J93" i="5" a="1"/>
  <c r="J93" i="5" s="1"/>
  <c r="I77" i="5"/>
  <c r="K113" i="5"/>
  <c r="J113" i="5" a="1"/>
  <c r="J113" i="5" s="1"/>
  <c r="I85" i="5"/>
  <c r="I86" i="5"/>
  <c r="I66" i="5"/>
  <c r="I53" i="5"/>
  <c r="I87" i="5"/>
  <c r="I51" i="5"/>
  <c r="I26" i="5"/>
  <c r="I103" i="5"/>
  <c r="I46" i="5"/>
  <c r="I107" i="5"/>
  <c r="I96" i="5"/>
  <c r="I45" i="5"/>
  <c r="I82" i="5"/>
  <c r="I94" i="5"/>
  <c r="I58" i="5"/>
  <c r="I106" i="5"/>
  <c r="AD26" i="2" l="1"/>
  <c r="AD76" i="2"/>
  <c r="AD75" i="2"/>
  <c r="F68" i="5"/>
  <c r="I68" i="5" s="1"/>
  <c r="J69" i="5" a="1"/>
  <c r="J69" i="5" s="1"/>
  <c r="AD71" i="2"/>
  <c r="AD37" i="2"/>
  <c r="J25" i="5" a="1"/>
  <c r="J25" i="5" s="1"/>
  <c r="J20" i="5" a="1"/>
  <c r="J20" i="5" s="1"/>
  <c r="K17" i="5"/>
  <c r="F14" i="5"/>
  <c r="I14" i="5" s="1"/>
  <c r="AD21" i="2"/>
  <c r="K36" i="5"/>
  <c r="J33" i="5" a="1"/>
  <c r="J33" i="5" s="1"/>
  <c r="J31" i="5" a="1"/>
  <c r="J31" i="5" s="1"/>
  <c r="K23" i="5"/>
  <c r="K28" i="5"/>
  <c r="K34" i="5"/>
  <c r="J34" i="5" a="1"/>
  <c r="J34" i="5" s="1"/>
  <c r="K97" i="5"/>
  <c r="J97" i="5" a="1"/>
  <c r="J97" i="5" s="1"/>
  <c r="K29" i="5"/>
  <c r="J29" i="5" a="1"/>
  <c r="J29" i="5" s="1"/>
  <c r="K111" i="5"/>
  <c r="J111" i="5" a="1"/>
  <c r="J111" i="5" s="1"/>
  <c r="K99" i="5"/>
  <c r="J99" i="5" a="1"/>
  <c r="J99" i="5" s="1"/>
  <c r="K32" i="5"/>
  <c r="J32" i="5" a="1"/>
  <c r="J32" i="5" s="1"/>
  <c r="K40" i="5"/>
  <c r="J40" i="5" a="1"/>
  <c r="J40" i="5" s="1"/>
  <c r="K100" i="5"/>
  <c r="J100" i="5" a="1"/>
  <c r="J100" i="5" s="1"/>
  <c r="K16" i="5"/>
  <c r="J16" i="5" a="1"/>
  <c r="J16" i="5" s="1"/>
  <c r="K38" i="5"/>
  <c r="J38" i="5" a="1"/>
  <c r="J38" i="5" s="1"/>
  <c r="K89" i="5"/>
  <c r="J89" i="5" a="1"/>
  <c r="J89" i="5" s="1"/>
  <c r="K87" i="5"/>
  <c r="J87" i="5" a="1"/>
  <c r="J87" i="5" s="1"/>
  <c r="K96" i="5"/>
  <c r="J96" i="5" a="1"/>
  <c r="J96" i="5" s="1"/>
  <c r="K48" i="5"/>
  <c r="J48" i="5" a="1"/>
  <c r="J48" i="5" s="1"/>
  <c r="K14" i="5"/>
  <c r="J14" i="5" a="1"/>
  <c r="J14" i="5" s="1"/>
  <c r="K72" i="5"/>
  <c r="J72" i="5" a="1"/>
  <c r="J72" i="5" s="1"/>
  <c r="K102" i="5"/>
  <c r="J102" i="5" a="1"/>
  <c r="J102" i="5" s="1"/>
  <c r="K54" i="5"/>
  <c r="J54" i="5" a="1"/>
  <c r="J54" i="5" s="1"/>
  <c r="K61" i="5"/>
  <c r="J61" i="5" a="1"/>
  <c r="J61" i="5" s="1"/>
  <c r="K95" i="5"/>
  <c r="J95" i="5" a="1"/>
  <c r="J95" i="5" s="1"/>
  <c r="K58" i="5"/>
  <c r="J58" i="5" a="1"/>
  <c r="J58" i="5" s="1"/>
  <c r="K86" i="5"/>
  <c r="J86" i="5" a="1"/>
  <c r="J86" i="5" s="1"/>
  <c r="K78" i="5"/>
  <c r="J78" i="5" a="1"/>
  <c r="J78" i="5" s="1"/>
  <c r="K103" i="5"/>
  <c r="J103" i="5" a="1"/>
  <c r="J103" i="5" s="1"/>
  <c r="K88" i="5"/>
  <c r="J88" i="5" a="1"/>
  <c r="J88" i="5" s="1"/>
  <c r="K45" i="5"/>
  <c r="J45" i="5" a="1"/>
  <c r="J45" i="5" s="1"/>
  <c r="K56" i="5"/>
  <c r="J56" i="5" a="1"/>
  <c r="J56" i="5" s="1"/>
  <c r="K104" i="5"/>
  <c r="J104" i="5" a="1"/>
  <c r="J104" i="5" s="1"/>
  <c r="K50" i="5"/>
  <c r="J50" i="5" a="1"/>
  <c r="J50" i="5" s="1"/>
  <c r="K92" i="5"/>
  <c r="J92" i="5" a="1"/>
  <c r="J92" i="5" s="1"/>
  <c r="K91" i="5"/>
  <c r="J91" i="5" a="1"/>
  <c r="J91" i="5" s="1"/>
  <c r="K107" i="5"/>
  <c r="J107" i="5" a="1"/>
  <c r="J107" i="5" s="1"/>
  <c r="K75" i="5"/>
  <c r="J75" i="5" a="1"/>
  <c r="J75" i="5" s="1"/>
  <c r="K84" i="5"/>
  <c r="J84" i="5" a="1"/>
  <c r="J84" i="5" s="1"/>
  <c r="K24" i="5"/>
  <c r="J24" i="5" a="1"/>
  <c r="J24" i="5" s="1"/>
  <c r="K46" i="5"/>
  <c r="J46" i="5" a="1"/>
  <c r="J46" i="5" s="1"/>
  <c r="K110" i="5"/>
  <c r="J110" i="5" a="1"/>
  <c r="J110" i="5" s="1"/>
  <c r="K80" i="5"/>
  <c r="J80" i="5" a="1"/>
  <c r="J80" i="5" s="1"/>
  <c r="K94" i="5"/>
  <c r="J94" i="5" a="1"/>
  <c r="J94" i="5" s="1"/>
  <c r="K30" i="5"/>
  <c r="J30" i="5" a="1"/>
  <c r="J30" i="5" s="1"/>
  <c r="K68" i="5"/>
  <c r="J68" i="5" a="1"/>
  <c r="J68" i="5" s="1"/>
  <c r="K27" i="5"/>
  <c r="J27" i="5" a="1"/>
  <c r="J27" i="5" s="1"/>
  <c r="K77" i="5"/>
  <c r="J77" i="5" a="1"/>
  <c r="J77" i="5" s="1"/>
  <c r="K53" i="5"/>
  <c r="J53" i="5" a="1"/>
  <c r="J53" i="5" s="1"/>
  <c r="K73" i="5"/>
  <c r="J73" i="5" a="1"/>
  <c r="J73" i="5" s="1"/>
  <c r="K60" i="5"/>
  <c r="J60" i="5" a="1"/>
  <c r="J60" i="5" s="1"/>
  <c r="K66" i="5"/>
  <c r="J66" i="5" a="1"/>
  <c r="J66" i="5" s="1"/>
  <c r="K101" i="5"/>
  <c r="J101" i="5" a="1"/>
  <c r="J101" i="5" s="1"/>
  <c r="K59" i="5"/>
  <c r="J59" i="5" a="1"/>
  <c r="J59" i="5" s="1"/>
  <c r="K43" i="5"/>
  <c r="J43" i="5" a="1"/>
  <c r="J43" i="5" s="1"/>
  <c r="K62" i="5"/>
  <c r="J62" i="5" a="1"/>
  <c r="J62" i="5" s="1"/>
  <c r="K106" i="5"/>
  <c r="J106" i="5" a="1"/>
  <c r="J106" i="5" s="1"/>
  <c r="K19" i="5"/>
  <c r="J19" i="5" a="1"/>
  <c r="J19" i="5" s="1"/>
  <c r="K22" i="5"/>
  <c r="J22" i="5" a="1"/>
  <c r="J22" i="5" s="1"/>
  <c r="K74" i="5"/>
  <c r="J74" i="5" a="1"/>
  <c r="J74" i="5" s="1"/>
  <c r="K18" i="5"/>
  <c r="J18" i="5" a="1"/>
  <c r="J18" i="5" s="1"/>
  <c r="K112" i="5"/>
  <c r="J112" i="5" a="1"/>
  <c r="J112" i="5" s="1"/>
  <c r="K79" i="5"/>
  <c r="J79" i="5" a="1"/>
  <c r="J79" i="5" s="1"/>
  <c r="K85" i="5"/>
  <c r="J85" i="5" a="1"/>
  <c r="J85" i="5" s="1"/>
  <c r="K37" i="5"/>
  <c r="J37" i="5" a="1"/>
  <c r="J37" i="5" s="1"/>
  <c r="K105" i="5"/>
  <c r="J105" i="5" a="1"/>
  <c r="J105" i="5" s="1"/>
  <c r="K114" i="5"/>
  <c r="J114" i="5" a="1"/>
  <c r="J114" i="5" s="1"/>
  <c r="K26" i="5"/>
  <c r="J26" i="5" a="1"/>
  <c r="J26" i="5" s="1"/>
  <c r="K108" i="5"/>
  <c r="J108" i="5" a="1"/>
  <c r="J108" i="5" s="1"/>
  <c r="K67" i="5"/>
  <c r="J67" i="5" a="1"/>
  <c r="J67" i="5" s="1"/>
  <c r="K21" i="5"/>
  <c r="J21" i="5" a="1"/>
  <c r="J21" i="5" s="1"/>
  <c r="K71" i="5"/>
  <c r="J71" i="5" a="1"/>
  <c r="J71" i="5" s="1"/>
  <c r="K42" i="5"/>
  <c r="J42" i="5" a="1"/>
  <c r="J42" i="5" s="1"/>
  <c r="K82" i="5"/>
  <c r="J82" i="5" a="1"/>
  <c r="J82" i="5" s="1"/>
  <c r="K51" i="5"/>
  <c r="J51" i="5" a="1"/>
  <c r="J51" i="5" s="1"/>
  <c r="K90" i="5"/>
  <c r="J90" i="5" a="1"/>
  <c r="J90" i="5" s="1"/>
  <c r="K35" i="5"/>
  <c r="J35" i="5" a="1"/>
  <c r="J35" i="5" s="1"/>
  <c r="K63" i="5"/>
  <c r="J63" i="5" a="1"/>
  <c r="J63" i="5" s="1"/>
  <c r="K76" i="5"/>
  <c r="J76" i="5" a="1"/>
  <c r="J76" i="5" s="1"/>
  <c r="K98" i="5"/>
  <c r="J98" i="5" a="1"/>
  <c r="J98" i="5" s="1"/>
  <c r="K70" i="5"/>
  <c r="J70" i="5" a="1"/>
  <c r="J70" i="5" s="1"/>
</calcChain>
</file>

<file path=xl/sharedStrings.xml><?xml version="1.0" encoding="utf-8"?>
<sst xmlns="http://schemas.openxmlformats.org/spreadsheetml/2006/main" count="266" uniqueCount="117">
  <si>
    <t>Input Data Sheet for Electronic-Class Record (ECR)</t>
  </si>
  <si>
    <t>CLASS RECORD</t>
  </si>
  <si>
    <t>SCHOOL INFORMATION</t>
  </si>
  <si>
    <t>LEARNERS' NAMES</t>
  </si>
  <si>
    <t>REGION</t>
  </si>
  <si>
    <t>:</t>
  </si>
  <si>
    <t>MALE</t>
  </si>
  <si>
    <t>FEMALE</t>
  </si>
  <si>
    <t>DIVISION</t>
  </si>
  <si>
    <t>SCHOOL ID</t>
  </si>
  <si>
    <t>SCHOOL NAME</t>
  </si>
  <si>
    <t>SCHOOL YEAR</t>
  </si>
  <si>
    <t>SECOND TERM</t>
  </si>
  <si>
    <t>SCHOOL HEAD</t>
  </si>
  <si>
    <t>THIRD TERM</t>
  </si>
  <si>
    <t>GRADE LEVEL</t>
  </si>
  <si>
    <t>FIRST TERM</t>
  </si>
  <si>
    <t>TEACHER</t>
  </si>
  <si>
    <t>SUBJECT</t>
  </si>
  <si>
    <t>SECTION</t>
  </si>
  <si>
    <t>TEACHER, GRADE LEVEL, SECTION INFORMATION</t>
  </si>
  <si>
    <t>WRITTEN / ORAL WORKS (WWs)</t>
  </si>
  <si>
    <t>PRODUCT / PERFORMANCE TASKS (PTs)</t>
  </si>
  <si>
    <t>EXAMINATIONS (EXs)</t>
  </si>
  <si>
    <t>Initial Grade</t>
  </si>
  <si>
    <t>SUBJECT TEACHER</t>
  </si>
  <si>
    <t>Term Grade</t>
  </si>
  <si>
    <t>Descriptor</t>
  </si>
  <si>
    <t>Total</t>
  </si>
  <si>
    <t>PS</t>
  </si>
  <si>
    <t>WS</t>
  </si>
  <si>
    <t>ST1</t>
  </si>
  <si>
    <t>ST2</t>
  </si>
  <si>
    <t>TE</t>
  </si>
  <si>
    <t>WS ST1</t>
  </si>
  <si>
    <t>WS ST2</t>
  </si>
  <si>
    <t>WS TE</t>
  </si>
  <si>
    <t>HIGHEST POSSIBLE SCORE</t>
  </si>
  <si>
    <r>
      <rPr>
        <b/>
        <i/>
        <sz val="9"/>
        <color rgb="FF002060"/>
        <rFont val="Arial"/>
        <family val="2"/>
      </rPr>
      <t>IMPORTANT NOTE:</t>
    </r>
    <r>
      <rPr>
        <i/>
        <sz val="9"/>
        <color rgb="FF002060"/>
        <rFont val="Arial"/>
        <family val="2"/>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</si>
  <si>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r>
      <rPr>
        <b/>
        <sz val="12"/>
        <color theme="1"/>
        <rFont val="Arial"/>
        <family val="2"/>
      </rPr>
      <t xml:space="preserve">Sheet Protection Password: </t>
    </r>
    <r>
      <rPr>
        <b/>
        <sz val="12"/>
        <color rgb="FFFF0000"/>
        <rFont val="Arial"/>
        <family val="2"/>
      </rPr>
      <t>password123</t>
    </r>
  </si>
  <si>
    <t>2026_v1.0</t>
  </si>
  <si>
    <t>CLASS RECORD - FINAL GRADES</t>
  </si>
  <si>
    <t>TERM GRADES</t>
  </si>
  <si>
    <t>FINAL GRADE</t>
  </si>
  <si>
    <t>DESCRIPTOR</t>
  </si>
  <si>
    <t>REMARK</t>
  </si>
  <si>
    <t>TERM 1</t>
  </si>
  <si>
    <t>TERM 2</t>
  </si>
  <si>
    <t>TERM 3</t>
  </si>
  <si>
    <t>HELPER</t>
  </si>
  <si>
    <t>IMPORTANT / DO NOT DELETE</t>
  </si>
  <si>
    <t>TRANSMUTATION TABLE</t>
  </si>
  <si>
    <t>IG (Min.)</t>
  </si>
  <si>
    <t>IG (Max.)</t>
  </si>
  <si>
    <t>Transmuted Grade</t>
  </si>
  <si>
    <t>Numerical Grade</t>
  </si>
  <si>
    <t>General Description</t>
  </si>
  <si>
    <t>Advancing</t>
  </si>
  <si>
    <t>Consistently demonstrates skills and understanding that meet or exceed standards with independence, flexibility, and depth.</t>
  </si>
  <si>
    <t>Benchmarking</t>
  </si>
  <si>
    <t>Demonstrates expected grade-level skills and understanding competently and independently.</t>
  </si>
  <si>
    <t>Connecting</t>
  </si>
  <si>
    <t>Demonstrates sufficient understanding and application of grade-level standards with occasional guidance and support</t>
  </si>
  <si>
    <t>Developing</t>
  </si>
  <si>
    <t>Demonstrates partial understanding and inconsistent application of skills, requires targeted support and scaffolding</t>
  </si>
  <si>
    <t>Emerging</t>
  </si>
  <si>
    <t>Does not yet demonstrate foundational skills and understanding; requires intensive support.</t>
  </si>
  <si>
    <t>Region X</t>
  </si>
  <si>
    <t>BUKIDNON</t>
  </si>
  <si>
    <t>IMPALUTAO INTEGRATED SCHOOL</t>
  </si>
  <si>
    <t/>
  </si>
  <si>
    <t>JOSIELIE B. PAESTE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</si>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</sst>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x14ac:knownFonts="1">
    <font>
      <sz val="10"/>
      <color rgb="FF000000"/>
      <name val="Arial"/>
      <scheme val="minor"/>
    </font>
    <font>
      <b/>
      <sz val="23"/>
      <color rgb="FF002060"/>
      <name val="Arial"/>
      <family val="2"/>
    </font>
    <font>
      <b/>
      <sz val="23"/>
      <color theme="1"/>
      <name val="Arial"/>
      <family val="2"/>
    </font>
    <font>
      <sz val="10"/>
      <name val="Arial"/>
      <family val="2"/>
    </font>
    <font>
      <sz val="10"/>
      <color rgb="FF000000"/>
      <name val="Arial"/>
      <family val="2"/>
    </font>
    <font>
      <sz val="10"/>
      <color theme="1"/>
      <name val="Arial"/>
      <family val="2"/>
    </font>
    <font>
      <b/>
      <sz val="23"/>
      <color rgb="FF000000"/>
      <name val="Arial"/>
      <family val="2"/>
    </font>
    <font>
      <b/>
      <sz val="11"/>
      <color rgb="FFFFFFFF"/>
      <name val="Arial"/>
      <family val="2"/>
    </font>
    <font>
      <b/>
      <sz val="12"/>
      <color theme="1"/>
      <name val="Arial"/>
      <family val="2"/>
    </font>
    <font>
      <b/>
      <sz val="11"/>
      <color rgb="FF002060"/>
      <name val="Arial"/>
      <family val="2"/>
    </font>
    <font>
      <sz val="11"/>
      <color theme="1"/>
      <name val="Arial"/>
      <family val="2"/>
    </font>
    <font>
      <sz val="12"/>
      <color theme="1"/>
      <name val="Arial"/>
      <family val="2"/>
    </font>
    <font>
      <b/>
      <sz val="12"/>
      <color rgb="FF002060"/>
      <name val="Arial"/>
      <family val="2"/>
    </font>
    <font>
      <b/>
      <sz val="21"/>
      <color theme="1"/>
      <name val="Arial"/>
      <family val="2"/>
    </font>
    <font>
      <b/>
      <sz val="11"/>
      <color theme="1"/>
      <name val="Arial"/>
      <family val="2"/>
    </font>
    <font>
      <b/>
      <sz val="10"/>
      <color theme="1"/>
      <name val="Arial"/>
      <family val="2"/>
    </font>
    <font>
      <b/>
      <i/>
      <sz val="11"/>
      <color theme="1"/>
      <name val="Arial"/>
      <family val="2"/>
    </font>
    <font>
      <i/>
      <sz val="9"/>
      <color rgb="FF002060"/>
      <name val="Arial"/>
      <family val="2"/>
    </font>
    <font>
      <sz val="9"/>
      <color theme="1"/>
      <name val="Arial"/>
      <family val="2"/>
    </font>
    <font>
      <b/>
      <sz val="9"/>
      <color theme="1"/>
      <name val="Arial"/>
      <family val="2"/>
    </font>
    <font>
      <b/>
      <i/>
      <sz val="10"/>
      <color theme="1"/>
      <name val="Arial"/>
      <family val="2"/>
    </font>
    <font>
      <i/>
      <sz val="8"/>
      <color theme="1"/>
      <name val="Arial"/>
      <family val="2"/>
    </font>
    <font>
      <b/>
      <sz val="26"/>
      <color rgb="FF000000"/>
      <name val="Arial"/>
      <family val="2"/>
    </font>
    <font>
      <sz val="10"/>
      <color rgb="FF002060"/>
      <name val="Arial"/>
      <family val="2"/>
    </font>
    <font>
      <b/>
      <sz val="10"/>
      <color rgb="FF000000"/>
      <name val="Arial"/>
      <family val="2"/>
    </font>
    <font>
      <b/>
      <sz val="30"/>
      <color theme="1"/>
      <name val="Arial"/>
      <family val="2"/>
    </font>
    <font>
      <sz val="22"/>
      <color theme="1"/>
      <name val="Arial"/>
      <family val="2"/>
    </font>
    <font>
      <b/>
      <sz val="22"/>
      <color rgb="FFFF0000"/>
      <name val="Arial"/>
      <family val="2"/>
    </font>
    <font>
      <b/>
      <sz val="13"/>
      <color rgb="FFFFFFFF"/>
      <name val="Arial"/>
      <family val="2"/>
    </font>
    <font>
      <sz val="13"/>
      <color theme="1"/>
      <name val="Arial"/>
      <family val="2"/>
    </font>
    <font>
      <b/>
      <sz val="12"/>
      <color rgb="FF000000"/>
      <name val="Arial"/>
      <family val="2"/>
    </font>
    <font>
      <b/>
      <i/>
      <sz val="9"/>
      <color rgb="FF002060"/>
      <name val="Arial"/>
      <family val="2"/>
    </font>
    <font>
      <b/>
      <sz val="12"/>
      <color rgb="FFFF0000"/>
      <name val="Arial"/>
      <family val="2"/>
    </font>
    <font>
      <sz val="9"/>
      <name val="Arial"/>
      <family val="2"/>
    </font>
  </fonts>
  <fills count="18">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BFBFBF"/>
        <bgColor rgb="FFBFBFB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D8D8D8"/>
        <bgColor rgb="FFD8D8D8"/>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0">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right/>
      <top/>
      <bottom/>
      <diagonal/>
    </border>
    <border>
      <left/>
      <right style="medium">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thin">
        <color rgb="FF000000"/>
      </left>
      <right/>
      <top style="thin">
        <color rgb="FF000000"/>
      </top>
      <bottom style="thin">
        <color rgb="FF000000"/>
      </bottom>
      <diagonal/>
    </border>
    <border>
      <left/>
      <right style="medium">
        <color rgb="FF000000"/>
      </right>
      <top style="medium">
        <color rgb="FF000000"/>
      </top>
      <bottom style="medium">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top/>
      <bottom/>
      <diagonal/>
    </border>
    <border>
      <left/>
      <right style="thin">
        <color rgb="FF000000"/>
      </right>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style="medium">
        <color rgb="FF000000"/>
      </right>
      <top/>
      <bottom/>
      <diagonal/>
    </border>
    <border>
      <left/>
      <right/>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medium">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top style="medium">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thin">
        <color rgb="FF000000"/>
      </right>
      <top/>
      <bottom/>
      <diagonal/>
    </border>
    <border>
      <left/>
      <right/>
      <top style="thin">
        <color rgb="FF000000"/>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style="thin">
        <color rgb="FF000000"/>
      </top>
      <bottom style="medium">
        <color rgb="FF000000"/>
      </bottom>
      <diagonal/>
    </border>
    <border>
      <left style="medium">
        <color rgb="FF000000"/>
      </left>
      <right/>
      <top style="medium">
        <color rgb="FF000000"/>
      </top>
      <bottom/>
      <diagonal/>
    </border>
    <border>
      <left/>
      <right/>
      <top style="medium">
        <color rgb="FF000000"/>
      </top>
      <bottom style="thin">
        <color rgb="FF000000"/>
      </bottom>
      <diagonal/>
    </border>
    <border>
      <left/>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top/>
      <bottom/>
      <diagonal/>
    </border>
    <border>
      <left/>
      <right/>
      <top/>
      <bottom/>
      <diagonal/>
    </border>
    <border>
      <left style="medium">
        <color rgb="FF000000"/>
      </left>
      <right/>
      <top style="thin">
        <color rgb="FF000000"/>
      </top>
      <bottom style="medium">
        <color rgb="FF000000"/>
      </bottom>
      <diagonal/>
    </border>
    <border>
      <left style="medium">
        <color rgb="FF000000"/>
      </left>
      <right/>
      <top/>
      <bottom style="thin">
        <color rgb="FF000000"/>
      </bottom>
      <diagonal/>
    </border>
    <border>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medium">
        <color rgb="FF002060"/>
      </left>
      <right style="thin">
        <color rgb="FF002060"/>
      </right>
      <top style="medium">
        <color rgb="FF002060"/>
      </top>
      <bottom style="medium">
        <color rgb="FF002060"/>
      </bottom>
      <diagonal/>
    </border>
    <border>
      <left style="thin">
        <color rgb="FF002060"/>
      </left>
      <right style="thin">
        <color rgb="FF002060"/>
      </right>
      <top style="medium">
        <color rgb="FF002060"/>
      </top>
      <bottom style="medium">
        <color rgb="FF002060"/>
      </bottom>
      <diagonal/>
    </border>
    <border>
      <left style="thin">
        <color rgb="FF002060"/>
      </left>
      <right style="medium">
        <color rgb="FF002060"/>
      </right>
      <top style="medium">
        <color rgb="FF002060"/>
      </top>
      <bottom style="medium">
        <color rgb="FF002060"/>
      </bottom>
      <diagonal/>
    </border>
    <border>
      <left style="medium">
        <color rgb="FF002060"/>
      </left>
      <right style="hair">
        <color rgb="FF000000"/>
      </right>
      <top style="medium">
        <color rgb="FF002060"/>
      </top>
      <bottom style="medium">
        <color rgb="FF002060"/>
      </bottom>
      <diagonal/>
    </border>
    <border>
      <left style="hair">
        <color rgb="FF000000"/>
      </left>
      <right style="hair">
        <color rgb="FF000000"/>
      </right>
      <top style="medium">
        <color rgb="FF002060"/>
      </top>
      <bottom style="medium">
        <color rgb="FF002060"/>
      </bottom>
      <diagonal/>
    </border>
    <border>
      <left style="hair">
        <color rgb="FF000000"/>
      </left>
      <right style="medium">
        <color rgb="FF002060"/>
      </right>
      <top style="medium">
        <color rgb="FF002060"/>
      </top>
      <bottom style="medium">
        <color rgb="FF002060"/>
      </bottom>
      <diagonal/>
    </border>
    <border>
      <left style="medium">
        <color rgb="FF002060"/>
      </left>
      <right style="thin">
        <color rgb="FF002060"/>
      </right>
      <top/>
      <bottom style="thin">
        <color rgb="FF002060"/>
      </bottom>
      <diagonal/>
    </border>
    <border>
      <left style="thin">
        <color rgb="FF002060"/>
      </left>
      <right style="thin">
        <color rgb="FF002060"/>
      </right>
      <top/>
      <bottom style="thin">
        <color rgb="FF002060"/>
      </bottom>
      <diagonal/>
    </border>
    <border>
      <left style="thin">
        <color rgb="FF002060"/>
      </left>
      <right style="medium">
        <color rgb="FF002060"/>
      </right>
      <top/>
      <bottom style="thin">
        <color rgb="FF002060"/>
      </bottom>
      <diagonal/>
    </border>
    <border>
      <left style="medium">
        <color rgb="FF000000"/>
      </left>
      <right style="hair">
        <color rgb="FF000000"/>
      </right>
      <top/>
      <bottom style="hair">
        <color rgb="FF000000"/>
      </bottom>
      <diagonal/>
    </border>
    <border>
      <left style="hair">
        <color rgb="FF000000"/>
      </left>
      <right style="hair">
        <color rgb="FF000000"/>
      </right>
      <top/>
      <bottom style="hair">
        <color rgb="FF000000"/>
      </bottom>
      <diagonal/>
    </border>
    <border>
      <left style="hair">
        <color rgb="FF000000"/>
      </left>
      <right style="medium">
        <color rgb="FF000000"/>
      </right>
      <top/>
      <bottom/>
      <diagonal/>
    </border>
    <border>
      <left style="medium">
        <color rgb="FF002060"/>
      </left>
      <right style="thin">
        <color rgb="FF002060"/>
      </right>
      <top style="thin">
        <color rgb="FF002060"/>
      </top>
      <bottom style="thin">
        <color rgb="FF002060"/>
      </bottom>
      <diagonal/>
    </border>
    <border>
      <left style="thin">
        <color rgb="FF002060"/>
      </left>
      <right style="thin">
        <color rgb="FF002060"/>
      </right>
      <top style="thin">
        <color rgb="FF002060"/>
      </top>
      <bottom style="thin">
        <color rgb="FF002060"/>
      </bottom>
      <diagonal/>
    </border>
    <border>
      <left style="thin">
        <color rgb="FF002060"/>
      </left>
      <right style="medium">
        <color rgb="FF002060"/>
      </right>
      <top style="thin">
        <color rgb="FF002060"/>
      </top>
      <bottom style="thin">
        <color rgb="FF002060"/>
      </bottom>
      <diagonal/>
    </border>
    <border>
      <left style="medium">
        <color rgb="FF000000"/>
      </left>
      <right style="hair">
        <color rgb="FF000000"/>
      </right>
      <top style="hair">
        <color rgb="FF000000"/>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medium">
        <color rgb="FF000000"/>
      </right>
      <top/>
      <bottom style="hair">
        <color rgb="FF000000"/>
      </bottom>
      <diagonal/>
    </border>
    <border>
      <left style="hair">
        <color rgb="FF000000"/>
      </left>
      <right style="medium">
        <color rgb="FF000000"/>
      </right>
      <top style="hair">
        <color rgb="FF000000"/>
      </top>
      <bottom/>
      <diagonal/>
    </border>
    <border>
      <left style="medium">
        <color rgb="FF002060"/>
      </left>
      <right style="thin">
        <color rgb="FF002060"/>
      </right>
      <top style="thin">
        <color rgb="FF002060"/>
      </top>
      <bottom style="medium">
        <color rgb="FF002060"/>
      </bottom>
      <diagonal/>
    </border>
    <border>
      <left style="thin">
        <color rgb="FF002060"/>
      </left>
      <right style="thin">
        <color rgb="FF002060"/>
      </right>
      <top style="thin">
        <color rgb="FF002060"/>
      </top>
      <bottom style="medium">
        <color rgb="FF002060"/>
      </bottom>
      <diagonal/>
    </border>
    <border>
      <left style="thin">
        <color rgb="FF002060"/>
      </left>
      <right style="medium">
        <color rgb="FF002060"/>
      </right>
      <top style="thin">
        <color rgb="FF002060"/>
      </top>
      <bottom style="medium">
        <color rgb="FF002060"/>
      </bottom>
      <diagonal/>
    </border>
    <border>
      <left style="medium">
        <color rgb="FF000000"/>
      </left>
      <right style="hair">
        <color rgb="FF000000"/>
      </right>
      <top style="hair">
        <color rgb="FF000000"/>
      </top>
      <bottom style="medium">
        <color rgb="FF000000"/>
      </bottom>
      <diagonal/>
    </border>
    <border>
      <left style="hair">
        <color rgb="FF000000"/>
      </left>
      <right style="hair">
        <color rgb="FF000000"/>
      </right>
      <top style="hair">
        <color rgb="FF000000"/>
      </top>
      <bottom style="medium">
        <color rgb="FF000000"/>
      </bottom>
      <diagonal/>
    </border>
    <border>
      <left style="hair">
        <color rgb="FF000000"/>
      </left>
      <right style="medium">
        <color rgb="FF000000"/>
      </right>
      <top/>
      <bottom style="medium">
        <color rgb="FF000000"/>
      </bottom>
      <diagonal/>
    </border>
  </borders>
  <cellStyleXfs count="1">
    <xf numFmtId="0" fontId="0" fillId="0" borderId="0"/>
  </cellStyleXfs>
  <cellXfs count="268">
    <xf numFmtId="0" fontId="0" fillId="0" borderId="0" xfId="0"/>
    <xf numFmtId="0" fontId="2" fillId="0" borderId="0" xfId="0" applyFont="1"/>
    <xf numFmtId="0" fontId="4" fillId="0" borderId="0" xfId="0" applyFont="1"/>
    <xf numFmtId="0" fontId="5" fillId="0" borderId="0" xfId="0" applyFont="1"/>
    <xf numFmtId="0" fontId="5" fillId="0" borderId="0" xfId="0" applyFont="1" applyAlignment="1">
      <alignment vertical="center"/>
    </xf>
    <xf numFmtId="0" fontId="2" fillId="0" borderId="0" xfId="0" applyFont="1" applyAlignment="1">
      <alignment horizontal="center" vertical="center"/>
    </xf>
    <xf numFmtId="0" fontId="5" fillId="4" borderId="14" xfId="0" applyFont="1" applyFill="1" applyBorder="1"/>
    <xf numFmtId="0" fontId="8" fillId="0" borderId="0" xfId="0" applyFont="1" applyAlignment="1">
      <alignment horizontal="right"/>
    </xf>
    <xf numFmtId="0" fontId="5" fillId="4" borderId="15" xfId="0" applyFont="1" applyFill="1" applyBorder="1"/>
    <xf numFmtId="0" fontId="5" fillId="4" borderId="16" xfId="0" applyFont="1" applyFill="1" applyBorder="1"/>
    <xf numFmtId="0" fontId="9" fillId="5" borderId="17" xfId="0" applyFont="1" applyFill="1" applyBorder="1"/>
    <xf numFmtId="0" fontId="9" fillId="5" borderId="18" xfId="0" applyFont="1" applyFill="1" applyBorder="1" applyAlignment="1">
      <alignment horizontal="center"/>
    </xf>
    <xf numFmtId="0" fontId="10" fillId="5" borderId="18" xfId="0" applyFont="1" applyFill="1" applyBorder="1" applyAlignment="1">
      <alignment horizontal="left"/>
    </xf>
    <xf numFmtId="0" fontId="5" fillId="5" borderId="25" xfId="0" applyFont="1" applyFill="1" applyBorder="1" applyAlignment="1">
      <alignment horizontal="left"/>
    </xf>
    <xf numFmtId="0" fontId="9" fillId="5" borderId="26" xfId="0" applyFont="1" applyFill="1" applyBorder="1" applyAlignment="1">
      <alignment horizontal="center" vertical="center"/>
    </xf>
    <xf numFmtId="0" fontId="10" fillId="5" borderId="26" xfId="0" applyFont="1" applyFill="1" applyBorder="1" applyAlignment="1">
      <alignment vertical="center"/>
    </xf>
    <xf numFmtId="0" fontId="11" fillId="0" borderId="22" xfId="0" applyFont="1" applyBorder="1" applyAlignment="1">
      <alignment horizontal="center"/>
    </xf>
    <xf numFmtId="0" fontId="5" fillId="4" borderId="15" xfId="0" applyFont="1" applyFill="1" applyBorder="1" applyAlignment="1">
      <alignment horizontal="left"/>
    </xf>
    <xf numFmtId="0" fontId="5" fillId="0" borderId="22" xfId="0" applyFont="1" applyBorder="1" applyAlignment="1">
      <alignment horizontal="center"/>
    </xf>
    <xf numFmtId="0" fontId="9" fillId="5" borderId="17" xfId="0" applyFont="1" applyFill="1" applyBorder="1" applyAlignment="1">
      <alignment vertical="center"/>
    </xf>
    <xf numFmtId="0" fontId="9" fillId="5" borderId="18" xfId="0" applyFont="1" applyFill="1" applyBorder="1" applyAlignment="1">
      <alignment horizontal="center" vertical="center"/>
    </xf>
    <xf numFmtId="0" fontId="9" fillId="5" borderId="27" xfId="0" applyFont="1" applyFill="1" applyBorder="1" applyAlignment="1">
      <alignment vertical="center"/>
    </xf>
    <xf numFmtId="0" fontId="9" fillId="5" borderId="28" xfId="0" applyFont="1" applyFill="1" applyBorder="1" applyAlignment="1">
      <alignment horizontal="center" vertical="center"/>
    </xf>
    <xf numFmtId="0" fontId="5" fillId="4" borderId="37" xfId="0" applyFont="1" applyFill="1" applyBorder="1"/>
    <xf numFmtId="0" fontId="5" fillId="4" borderId="40" xfId="0" applyFont="1" applyFill="1" applyBorder="1"/>
    <xf numFmtId="0" fontId="5" fillId="4" borderId="41" xfId="0" applyFont="1" applyFill="1" applyBorder="1"/>
    <xf numFmtId="0" fontId="9" fillId="5" borderId="27" xfId="0" applyFont="1" applyFill="1" applyBorder="1"/>
    <xf numFmtId="0" fontId="9" fillId="5" borderId="28" xfId="0" applyFont="1" applyFill="1" applyBorder="1" applyAlignment="1">
      <alignment horizontal="center"/>
    </xf>
    <xf numFmtId="0" fontId="15" fillId="7" borderId="47" xfId="0" applyFont="1" applyFill="1" applyBorder="1" applyAlignment="1">
      <alignment horizontal="center" vertical="center"/>
    </xf>
    <xf numFmtId="0" fontId="15" fillId="7" borderId="48" xfId="0" applyFont="1" applyFill="1" applyBorder="1" applyAlignment="1">
      <alignment horizontal="center" vertical="center"/>
    </xf>
    <xf numFmtId="0" fontId="15" fillId="7" borderId="49" xfId="0" applyFont="1" applyFill="1" applyBorder="1" applyAlignment="1">
      <alignment horizontal="center" vertical="center"/>
    </xf>
    <xf numFmtId="0" fontId="15" fillId="8" borderId="50" xfId="0" applyFont="1" applyFill="1" applyBorder="1" applyAlignment="1">
      <alignment horizontal="center" vertical="center"/>
    </xf>
    <xf numFmtId="0" fontId="15" fillId="8" borderId="47" xfId="0" applyFont="1" applyFill="1" applyBorder="1" applyAlignment="1">
      <alignment horizontal="center" vertical="center"/>
    </xf>
    <xf numFmtId="0" fontId="15" fillId="8" borderId="48" xfId="0" applyFont="1" applyFill="1" applyBorder="1" applyAlignment="1">
      <alignment horizontal="center" vertical="center"/>
    </xf>
    <xf numFmtId="0" fontId="15" fillId="8" borderId="51" xfId="0" applyFont="1" applyFill="1" applyBorder="1" applyAlignment="1">
      <alignment horizontal="center" vertical="center"/>
    </xf>
    <xf numFmtId="0" fontId="9" fillId="5" borderId="52" xfId="0" applyFont="1" applyFill="1" applyBorder="1"/>
    <xf numFmtId="0" fontId="9" fillId="5" borderId="53" xfId="0" applyFont="1" applyFill="1" applyBorder="1" applyAlignment="1">
      <alignment horizontal="center"/>
    </xf>
    <xf numFmtId="0" fontId="15" fillId="0" borderId="54" xfId="0" applyFont="1" applyBorder="1" applyAlignment="1">
      <alignment horizontal="center" vertical="center"/>
    </xf>
    <xf numFmtId="0" fontId="15" fillId="0" borderId="55" xfId="0" applyFont="1" applyBorder="1" applyAlignment="1">
      <alignment horizontal="center" vertical="center"/>
    </xf>
    <xf numFmtId="0" fontId="15" fillId="0" borderId="56" xfId="0" applyFont="1" applyBorder="1" applyAlignment="1">
      <alignment horizontal="center" vertical="center"/>
    </xf>
    <xf numFmtId="0" fontId="15" fillId="8" borderId="57" xfId="0" applyFont="1" applyFill="1" applyBorder="1" applyAlignment="1">
      <alignment horizontal="center" vertical="center"/>
    </xf>
    <xf numFmtId="1" fontId="15" fillId="8" borderId="57" xfId="0" applyNumberFormat="1" applyFont="1" applyFill="1" applyBorder="1" applyAlignment="1">
      <alignment horizontal="center" vertical="center"/>
    </xf>
    <xf numFmtId="0" fontId="5" fillId="9" borderId="14" xfId="0" applyFont="1" applyFill="1" applyBorder="1"/>
    <xf numFmtId="9" fontId="15" fillId="8" borderId="57" xfId="0" applyNumberFormat="1" applyFont="1" applyFill="1" applyBorder="1" applyAlignment="1">
      <alignment horizontal="center" vertical="center"/>
    </xf>
    <xf numFmtId="0" fontId="5" fillId="9" borderId="16" xfId="0" applyFont="1" applyFill="1" applyBorder="1"/>
    <xf numFmtId="1" fontId="15" fillId="8" borderId="58" xfId="0" applyNumberFormat="1" applyFont="1" applyFill="1" applyBorder="1" applyAlignment="1">
      <alignment horizontal="center" vertical="center"/>
    </xf>
    <xf numFmtId="9" fontId="15" fillId="8" borderId="58" xfId="0" applyNumberFormat="1" applyFont="1" applyFill="1" applyBorder="1" applyAlignment="1">
      <alignment horizontal="center" vertical="center"/>
    </xf>
    <xf numFmtId="0" fontId="15" fillId="8" borderId="54" xfId="0" applyFont="1" applyFill="1" applyBorder="1" applyAlignment="1">
      <alignment horizontal="center" vertical="center"/>
    </xf>
    <xf numFmtId="0" fontId="15" fillId="8" borderId="55" xfId="0" applyFont="1" applyFill="1" applyBorder="1" applyAlignment="1">
      <alignment horizontal="center" vertical="center"/>
    </xf>
    <xf numFmtId="0" fontId="15" fillId="8" borderId="59" xfId="0" applyFont="1" applyFill="1" applyBorder="1" applyAlignment="1">
      <alignment horizontal="center" vertical="center"/>
    </xf>
    <xf numFmtId="0" fontId="5" fillId="9" borderId="37" xfId="0" applyFont="1" applyFill="1" applyBorder="1"/>
    <xf numFmtId="0" fontId="5" fillId="9" borderId="40" xfId="0" applyFont="1" applyFill="1" applyBorder="1"/>
    <xf numFmtId="0" fontId="5" fillId="9" borderId="41" xfId="0" applyFont="1" applyFill="1" applyBorder="1"/>
    <xf numFmtId="0" fontId="14" fillId="11" borderId="61" xfId="0" applyFont="1" applyFill="1" applyBorder="1" applyAlignment="1">
      <alignment horizontal="center"/>
    </xf>
    <xf numFmtId="0" fontId="18" fillId="0" borderId="47" xfId="0" applyFont="1" applyBorder="1" applyAlignment="1">
      <alignment horizontal="center" vertical="center"/>
    </xf>
    <xf numFmtId="0" fontId="18" fillId="0" borderId="48" xfId="0" applyFont="1" applyBorder="1" applyAlignment="1">
      <alignment horizontal="center" vertical="center"/>
    </xf>
    <xf numFmtId="0" fontId="18" fillId="0" borderId="51" xfId="0" applyFont="1" applyBorder="1" applyAlignment="1">
      <alignment horizontal="center" vertical="center"/>
    </xf>
    <xf numFmtId="0" fontId="19" fillId="8" borderId="65" xfId="0" applyFont="1" applyFill="1" applyBorder="1" applyAlignment="1">
      <alignment horizontal="center" vertical="center"/>
    </xf>
    <xf numFmtId="0" fontId="19" fillId="8" borderId="66" xfId="0" applyFont="1" applyFill="1" applyBorder="1" applyAlignment="1">
      <alignment horizontal="center" vertical="center"/>
    </xf>
    <xf numFmtId="4" fontId="19" fillId="8" borderId="66" xfId="0" applyNumberFormat="1" applyFont="1" applyFill="1" applyBorder="1" applyAlignment="1">
      <alignment horizontal="center" vertical="center"/>
    </xf>
    <xf numFmtId="4" fontId="19" fillId="8" borderId="67" xfId="0" applyNumberFormat="1" applyFont="1" applyFill="1" applyBorder="1" applyAlignment="1">
      <alignment horizontal="center" vertical="center"/>
    </xf>
    <xf numFmtId="4" fontId="19" fillId="8" borderId="68" xfId="0" applyNumberFormat="1" applyFont="1" applyFill="1" applyBorder="1" applyAlignment="1">
      <alignment horizontal="center" vertical="center"/>
    </xf>
    <xf numFmtId="4" fontId="19" fillId="8" borderId="69" xfId="0" applyNumberFormat="1" applyFont="1" applyFill="1" applyBorder="1" applyAlignment="1">
      <alignment horizontal="center" vertical="center"/>
    </xf>
    <xf numFmtId="4" fontId="19" fillId="8" borderId="27" xfId="0" applyNumberFormat="1" applyFont="1" applyFill="1" applyBorder="1" applyAlignment="1">
      <alignment horizontal="center" vertical="center"/>
    </xf>
    <xf numFmtId="4" fontId="19" fillId="8" borderId="70" xfId="0" applyNumberFormat="1" applyFont="1" applyFill="1" applyBorder="1" applyAlignment="1">
      <alignment horizontal="center" vertical="center"/>
    </xf>
    <xf numFmtId="4" fontId="19" fillId="8" borderId="71" xfId="0" applyNumberFormat="1" applyFont="1" applyFill="1" applyBorder="1" applyAlignment="1">
      <alignment horizontal="center" vertical="center"/>
    </xf>
    <xf numFmtId="4" fontId="19" fillId="5" borderId="15" xfId="0" applyNumberFormat="1" applyFont="1" applyFill="1" applyBorder="1" applyAlignment="1">
      <alignment horizontal="center" vertical="center"/>
    </xf>
    <xf numFmtId="1" fontId="20" fillId="0" borderId="72" xfId="0" applyNumberFormat="1" applyFont="1" applyBorder="1" applyAlignment="1">
      <alignment horizontal="center" vertical="center"/>
    </xf>
    <xf numFmtId="0" fontId="20" fillId="0" borderId="50" xfId="0" applyFont="1" applyBorder="1" applyAlignment="1">
      <alignment horizontal="center" vertical="center"/>
    </xf>
    <xf numFmtId="0" fontId="14" fillId="11" borderId="73" xfId="0" applyFont="1" applyFill="1" applyBorder="1" applyAlignment="1">
      <alignment horizontal="center"/>
    </xf>
    <xf numFmtId="0" fontId="18" fillId="0" borderId="73" xfId="0" applyFont="1" applyBorder="1" applyAlignment="1">
      <alignment horizontal="center" vertical="center"/>
    </xf>
    <xf numFmtId="0" fontId="18" fillId="0" borderId="26" xfId="0" applyFont="1" applyBorder="1" applyAlignment="1">
      <alignment horizontal="center" vertical="center"/>
    </xf>
    <xf numFmtId="0" fontId="18" fillId="0" borderId="74" xfId="0" applyFont="1" applyBorder="1" applyAlignment="1">
      <alignment horizontal="center" vertical="center"/>
    </xf>
    <xf numFmtId="0" fontId="19" fillId="8" borderId="25" xfId="0" applyFont="1" applyFill="1" applyBorder="1" applyAlignment="1">
      <alignment horizontal="center" vertical="center"/>
    </xf>
    <xf numFmtId="4" fontId="19" fillId="8" borderId="26" xfId="0" applyNumberFormat="1" applyFont="1" applyFill="1" applyBorder="1" applyAlignment="1">
      <alignment horizontal="center" vertical="center"/>
    </xf>
    <xf numFmtId="4" fontId="19" fillId="8" borderId="17" xfId="0" applyNumberFormat="1" applyFont="1" applyFill="1" applyBorder="1" applyAlignment="1">
      <alignment horizontal="center" vertical="center"/>
    </xf>
    <xf numFmtId="0" fontId="19" fillId="8" borderId="26" xfId="0" applyFont="1" applyFill="1" applyBorder="1" applyAlignment="1">
      <alignment horizontal="center" vertical="center"/>
    </xf>
    <xf numFmtId="4" fontId="19" fillId="8" borderId="25" xfId="0" applyNumberFormat="1" applyFont="1" applyFill="1" applyBorder="1" applyAlignment="1">
      <alignment horizontal="center" vertical="center"/>
    </xf>
    <xf numFmtId="4" fontId="19" fillId="8" borderId="73" xfId="0" applyNumberFormat="1" applyFont="1" applyFill="1" applyBorder="1" applyAlignment="1">
      <alignment horizontal="center" vertical="center"/>
    </xf>
    <xf numFmtId="4" fontId="19" fillId="8" borderId="74" xfId="0" applyNumberFormat="1" applyFont="1" applyFill="1" applyBorder="1" applyAlignment="1">
      <alignment horizontal="center" vertical="center"/>
    </xf>
    <xf numFmtId="4" fontId="19" fillId="5" borderId="18" xfId="0" applyNumberFormat="1" applyFont="1" applyFill="1" applyBorder="1" applyAlignment="1">
      <alignment horizontal="center" vertical="center"/>
    </xf>
    <xf numFmtId="1" fontId="20" fillId="0" borderId="75" xfId="0" applyNumberFormat="1" applyFont="1" applyBorder="1" applyAlignment="1">
      <alignment horizontal="center" vertical="center"/>
    </xf>
    <xf numFmtId="0" fontId="20" fillId="0" borderId="76" xfId="0" applyFont="1" applyBorder="1" applyAlignment="1">
      <alignment horizontal="center" vertical="center"/>
    </xf>
    <xf numFmtId="0" fontId="19" fillId="8" borderId="67" xfId="0" applyFont="1" applyFill="1" applyBorder="1" applyAlignment="1">
      <alignment horizontal="center" vertical="center"/>
    </xf>
    <xf numFmtId="0" fontId="19" fillId="8" borderId="71" xfId="0" applyFont="1" applyFill="1" applyBorder="1" applyAlignment="1">
      <alignment horizontal="center" vertical="center"/>
    </xf>
    <xf numFmtId="0" fontId="5" fillId="4" borderId="77" xfId="0" applyFont="1" applyFill="1" applyBorder="1"/>
    <xf numFmtId="0" fontId="5" fillId="4" borderId="78" xfId="0" applyFont="1" applyFill="1" applyBorder="1"/>
    <xf numFmtId="2" fontId="19" fillId="5" borderId="15" xfId="0" applyNumberFormat="1" applyFont="1" applyFill="1" applyBorder="1" applyAlignment="1">
      <alignment horizontal="center" vertical="center"/>
    </xf>
    <xf numFmtId="0" fontId="21" fillId="0" borderId="0" xfId="0" applyFont="1" applyAlignment="1">
      <alignment horizontal="right"/>
    </xf>
    <xf numFmtId="0" fontId="19" fillId="8" borderId="17" xfId="0" applyFont="1" applyFill="1" applyBorder="1" applyAlignment="1">
      <alignment horizontal="center" vertical="center"/>
    </xf>
    <xf numFmtId="0" fontId="19" fillId="8" borderId="74" xfId="0" applyFont="1" applyFill="1" applyBorder="1" applyAlignment="1">
      <alignment horizontal="center" vertical="center"/>
    </xf>
    <xf numFmtId="2" fontId="19" fillId="5" borderId="18" xfId="0" applyNumberFormat="1" applyFont="1" applyFill="1" applyBorder="1" applyAlignment="1">
      <alignment horizontal="center" vertical="center"/>
    </xf>
    <xf numFmtId="0" fontId="8" fillId="0" borderId="0" xfId="0" applyFont="1" applyAlignment="1">
      <alignment horizontal="right" vertical="center"/>
    </xf>
    <xf numFmtId="0" fontId="11" fillId="0" borderId="0" xfId="0" applyFont="1"/>
    <xf numFmtId="0" fontId="8" fillId="0" borderId="0" xfId="0" applyFont="1" applyAlignment="1">
      <alignment horizontal="center"/>
    </xf>
    <xf numFmtId="0" fontId="14" fillId="0" borderId="81" xfId="0" applyFont="1" applyBorder="1" applyAlignment="1">
      <alignment horizontal="right" vertical="center"/>
    </xf>
    <xf numFmtId="0" fontId="14" fillId="0" borderId="45" xfId="0" applyFont="1" applyBorder="1" applyAlignment="1">
      <alignment horizontal="right" vertical="center"/>
    </xf>
    <xf numFmtId="0" fontId="14" fillId="0" borderId="81" xfId="0" applyFont="1" applyBorder="1" applyAlignment="1">
      <alignment horizontal="center" vertical="center"/>
    </xf>
    <xf numFmtId="0" fontId="14" fillId="11" borderId="85" xfId="0" applyFont="1" applyFill="1" applyBorder="1" applyAlignment="1">
      <alignment horizontal="center"/>
    </xf>
    <xf numFmtId="0" fontId="24" fillId="0" borderId="0" xfId="0" applyFont="1" applyAlignment="1">
      <alignment horizontal="center"/>
    </xf>
    <xf numFmtId="0" fontId="14" fillId="11" borderId="47" xfId="0" applyFont="1" applyFill="1" applyBorder="1" applyAlignment="1">
      <alignment horizontal="center"/>
    </xf>
    <xf numFmtId="1" fontId="5" fillId="4" borderId="86" xfId="0" applyNumberFormat="1" applyFont="1" applyFill="1" applyBorder="1" applyAlignment="1">
      <alignment horizontal="center" vertical="center"/>
    </xf>
    <xf numFmtId="0" fontId="5" fillId="4" borderId="86" xfId="0" applyFont="1" applyFill="1" applyBorder="1" applyAlignment="1">
      <alignment horizontal="center" vertical="center"/>
    </xf>
    <xf numFmtId="0" fontId="5" fillId="4" borderId="50" xfId="0" applyFont="1" applyFill="1" applyBorder="1" applyAlignment="1">
      <alignment horizontal="center" vertical="center"/>
    </xf>
    <xf numFmtId="1" fontId="20" fillId="4" borderId="87" xfId="0" applyNumberFormat="1" applyFont="1" applyFill="1" applyBorder="1" applyAlignment="1">
      <alignment horizontal="center" vertical="center"/>
    </xf>
    <xf numFmtId="0" fontId="20" fillId="4" borderId="72" xfId="0" applyFont="1" applyFill="1" applyBorder="1" applyAlignment="1">
      <alignment horizontal="center" vertical="center"/>
    </xf>
    <xf numFmtId="0" fontId="24" fillId="0" borderId="0" xfId="0" applyFont="1" applyAlignment="1">
      <alignment horizontal="center" vertical="center"/>
    </xf>
    <xf numFmtId="0" fontId="5" fillId="4" borderId="88" xfId="0" applyFont="1" applyFill="1" applyBorder="1" applyAlignment="1">
      <alignment horizontal="center" vertical="center"/>
    </xf>
    <xf numFmtId="0" fontId="5" fillId="4" borderId="76" xfId="0" applyFont="1" applyFill="1" applyBorder="1" applyAlignment="1">
      <alignment horizontal="center" vertical="center"/>
    </xf>
    <xf numFmtId="1" fontId="20" fillId="4" borderId="18" xfId="0" applyNumberFormat="1" applyFont="1" applyFill="1" applyBorder="1" applyAlignment="1">
      <alignment horizontal="center" vertical="center"/>
    </xf>
    <xf numFmtId="0" fontId="20" fillId="4" borderId="75" xfId="0" applyFont="1" applyFill="1" applyBorder="1" applyAlignment="1">
      <alignment horizontal="center" vertical="center"/>
    </xf>
    <xf numFmtId="0" fontId="24" fillId="0" borderId="0" xfId="0" applyFont="1"/>
    <xf numFmtId="0" fontId="18" fillId="0" borderId="54" xfId="0" applyFont="1" applyBorder="1" applyAlignment="1">
      <alignment horizontal="center" vertical="center"/>
    </xf>
    <xf numFmtId="0" fontId="18" fillId="0" borderId="55" xfId="0" applyFont="1" applyBorder="1" applyAlignment="1">
      <alignment horizontal="center" vertical="center"/>
    </xf>
    <xf numFmtId="0" fontId="18" fillId="0" borderId="59" xfId="0" applyFont="1" applyBorder="1" applyAlignment="1">
      <alignment horizontal="center" vertical="center"/>
    </xf>
    <xf numFmtId="1" fontId="20" fillId="0" borderId="89" xfId="0" applyNumberFormat="1" applyFont="1" applyBorder="1" applyAlignment="1">
      <alignment horizontal="center" vertical="center"/>
    </xf>
    <xf numFmtId="0" fontId="20" fillId="0" borderId="58" xfId="0" applyFont="1" applyBorder="1" applyAlignment="1">
      <alignment horizontal="center" vertical="center"/>
    </xf>
    <xf numFmtId="0" fontId="14" fillId="14" borderId="47" xfId="0" applyFont="1" applyFill="1" applyBorder="1" applyAlignment="1">
      <alignment horizontal="center"/>
    </xf>
    <xf numFmtId="0" fontId="19" fillId="8" borderId="94" xfId="0" applyFont="1" applyFill="1" applyBorder="1" applyAlignment="1">
      <alignment horizontal="center" vertical="center"/>
    </xf>
    <xf numFmtId="4" fontId="19" fillId="8" borderId="48" xfId="0" applyNumberFormat="1" applyFont="1" applyFill="1" applyBorder="1" applyAlignment="1">
      <alignment horizontal="center" vertical="center"/>
    </xf>
    <xf numFmtId="4" fontId="19" fillId="8" borderId="49" xfId="0" applyNumberFormat="1" applyFont="1" applyFill="1" applyBorder="1" applyAlignment="1">
      <alignment horizontal="center" vertical="center"/>
    </xf>
    <xf numFmtId="4" fontId="19" fillId="8" borderId="94" xfId="0" applyNumberFormat="1" applyFont="1" applyFill="1" applyBorder="1" applyAlignment="1">
      <alignment horizontal="center" vertical="center"/>
    </xf>
    <xf numFmtId="4" fontId="19" fillId="8" borderId="47" xfId="0" applyNumberFormat="1" applyFont="1" applyFill="1" applyBorder="1" applyAlignment="1">
      <alignment horizontal="center" vertical="center"/>
    </xf>
    <xf numFmtId="4" fontId="19" fillId="8" borderId="51" xfId="0" applyNumberFormat="1" applyFont="1" applyFill="1" applyBorder="1" applyAlignment="1">
      <alignment horizontal="center" vertical="center"/>
    </xf>
    <xf numFmtId="4" fontId="19" fillId="5" borderId="87" xfId="0" applyNumberFormat="1" applyFont="1" applyFill="1" applyBorder="1" applyAlignment="1">
      <alignment horizontal="center" vertical="center"/>
    </xf>
    <xf numFmtId="0" fontId="14" fillId="14" borderId="73" xfId="0" applyFont="1" applyFill="1" applyBorder="1" applyAlignment="1">
      <alignment horizontal="center"/>
    </xf>
    <xf numFmtId="0" fontId="5" fillId="4" borderId="99" xfId="0" applyFont="1" applyFill="1" applyBorder="1" applyAlignment="1">
      <alignment horizontal="center" vertical="center"/>
    </xf>
    <xf numFmtId="0" fontId="5" fillId="4" borderId="58" xfId="0" applyFont="1" applyFill="1" applyBorder="1" applyAlignment="1">
      <alignment horizontal="center" vertical="center"/>
    </xf>
    <xf numFmtId="1" fontId="20" fillId="4" borderId="78" xfId="0" applyNumberFormat="1" applyFont="1" applyFill="1" applyBorder="1" applyAlignment="1">
      <alignment horizontal="center" vertical="center"/>
    </xf>
    <xf numFmtId="0" fontId="20" fillId="4" borderId="89" xfId="0" applyFont="1" applyFill="1" applyBorder="1" applyAlignment="1">
      <alignment horizontal="center" vertical="center"/>
    </xf>
    <xf numFmtId="0" fontId="14" fillId="14" borderId="61" xfId="0" applyFont="1" applyFill="1" applyBorder="1" applyAlignment="1">
      <alignment horizontal="center"/>
    </xf>
    <xf numFmtId="0" fontId="5" fillId="4" borderId="100" xfId="0" applyFont="1" applyFill="1" applyBorder="1" applyAlignment="1">
      <alignment horizontal="center" vertical="center"/>
    </xf>
    <xf numFmtId="0" fontId="14" fillId="14" borderId="85" xfId="0" applyFont="1" applyFill="1" applyBorder="1" applyAlignment="1">
      <alignment horizontal="center"/>
    </xf>
    <xf numFmtId="0" fontId="20" fillId="4" borderId="50" xfId="0" applyFont="1" applyFill="1" applyBorder="1" applyAlignment="1">
      <alignment horizontal="center" vertical="center"/>
    </xf>
    <xf numFmtId="0" fontId="20" fillId="4" borderId="76" xfId="0" applyFont="1" applyFill="1" applyBorder="1" applyAlignment="1">
      <alignment horizontal="center" vertical="center"/>
    </xf>
    <xf numFmtId="0" fontId="14" fillId="14" borderId="54" xfId="0" applyFont="1" applyFill="1" applyBorder="1" applyAlignment="1">
      <alignment horizontal="center"/>
    </xf>
    <xf numFmtId="0" fontId="19" fillId="8" borderId="103" xfId="0" applyFont="1" applyFill="1" applyBorder="1" applyAlignment="1">
      <alignment horizontal="center" vertical="center"/>
    </xf>
    <xf numFmtId="4" fontId="19" fillId="8" borderId="55" xfId="0" applyNumberFormat="1" applyFont="1" applyFill="1" applyBorder="1" applyAlignment="1">
      <alignment horizontal="center" vertical="center"/>
    </xf>
    <xf numFmtId="4" fontId="19" fillId="8" borderId="104" xfId="0" applyNumberFormat="1" applyFont="1" applyFill="1" applyBorder="1" applyAlignment="1">
      <alignment horizontal="center" vertical="center"/>
    </xf>
    <xf numFmtId="4" fontId="19" fillId="8" borderId="103" xfId="0" applyNumberFormat="1" applyFont="1" applyFill="1" applyBorder="1" applyAlignment="1">
      <alignment horizontal="center" vertical="center"/>
    </xf>
    <xf numFmtId="4" fontId="19" fillId="8" borderId="54" xfId="0" applyNumberFormat="1" applyFont="1" applyFill="1" applyBorder="1" applyAlignment="1">
      <alignment horizontal="center" vertical="center"/>
    </xf>
    <xf numFmtId="4" fontId="19" fillId="8" borderId="59" xfId="0" applyNumberFormat="1" applyFont="1" applyFill="1" applyBorder="1" applyAlignment="1">
      <alignment horizontal="center" vertical="center"/>
    </xf>
    <xf numFmtId="4" fontId="19" fillId="5" borderId="78" xfId="0" applyNumberFormat="1" applyFont="1" applyFill="1" applyBorder="1" applyAlignment="1">
      <alignment horizontal="center" vertical="center"/>
    </xf>
    <xf numFmtId="0" fontId="20" fillId="4" borderId="58" xfId="0" applyFont="1" applyFill="1" applyBorder="1" applyAlignment="1">
      <alignment horizontal="center" vertical="center"/>
    </xf>
    <xf numFmtId="0" fontId="5" fillId="0" borderId="0" xfId="0" applyFont="1" applyAlignment="1">
      <alignment horizontal="center"/>
    </xf>
    <xf numFmtId="0" fontId="25" fillId="0" borderId="0" xfId="0" applyFont="1"/>
    <xf numFmtId="0" fontId="26" fillId="0" borderId="0" xfId="0" applyFont="1"/>
    <xf numFmtId="0" fontId="27" fillId="0" borderId="0" xfId="0" applyFont="1"/>
    <xf numFmtId="0" fontId="29" fillId="0" borderId="0" xfId="0" applyFont="1"/>
    <xf numFmtId="0" fontId="29" fillId="0" borderId="105" xfId="0" applyFont="1" applyBorder="1" applyAlignment="1">
      <alignment horizontal="center"/>
    </xf>
    <xf numFmtId="0" fontId="29" fillId="0" borderId="106" xfId="0" applyFont="1" applyBorder="1" applyAlignment="1">
      <alignment horizontal="center"/>
    </xf>
    <xf numFmtId="0" fontId="29" fillId="0" borderId="107" xfId="0" applyFont="1" applyBorder="1" applyAlignment="1">
      <alignment horizontal="center"/>
    </xf>
    <xf numFmtId="0" fontId="29" fillId="0" borderId="108" xfId="0" applyFont="1" applyBorder="1" applyAlignment="1">
      <alignment horizontal="center"/>
    </xf>
    <xf numFmtId="0" fontId="29" fillId="0" borderId="109" xfId="0" applyFont="1" applyBorder="1" applyAlignment="1">
      <alignment horizontal="center"/>
    </xf>
    <xf numFmtId="0" fontId="29" fillId="0" borderId="110" xfId="0" applyFont="1" applyBorder="1" applyAlignment="1">
      <alignment horizontal="center" vertical="center" wrapText="1"/>
    </xf>
    <xf numFmtId="2" fontId="30" fillId="0" borderId="111" xfId="0" applyNumberFormat="1" applyFont="1" applyBorder="1" applyAlignment="1">
      <alignment horizontal="center"/>
    </xf>
    <xf numFmtId="0" fontId="30" fillId="0" borderId="112" xfId="0" applyFont="1" applyBorder="1" applyAlignment="1">
      <alignment horizontal="center"/>
    </xf>
    <xf numFmtId="0" fontId="30" fillId="0" borderId="113" xfId="0" applyFont="1" applyBorder="1" applyAlignment="1">
      <alignment horizontal="center"/>
    </xf>
    <xf numFmtId="0" fontId="30" fillId="0" borderId="114" xfId="0" applyFont="1" applyBorder="1" applyAlignment="1">
      <alignment horizontal="center"/>
    </xf>
    <xf numFmtId="0" fontId="8" fillId="0" borderId="115" xfId="0" applyFont="1" applyBorder="1" applyAlignment="1">
      <alignment horizontal="center"/>
    </xf>
    <xf numFmtId="0" fontId="30" fillId="0" borderId="117" xfId="0" applyFont="1" applyBorder="1" applyAlignment="1">
      <alignment horizontal="center"/>
    </xf>
    <xf numFmtId="0" fontId="30" fillId="0" borderId="118" xfId="0" applyFont="1" applyBorder="1" applyAlignment="1">
      <alignment horizontal="center"/>
    </xf>
    <xf numFmtId="0" fontId="30" fillId="0" borderId="119" xfId="0" applyFont="1" applyBorder="1" applyAlignment="1">
      <alignment horizontal="center"/>
    </xf>
    <xf numFmtId="0" fontId="30" fillId="0" borderId="120" xfId="0" applyFont="1" applyBorder="1" applyAlignment="1">
      <alignment horizontal="center"/>
    </xf>
    <xf numFmtId="0" fontId="8" fillId="0" borderId="121" xfId="0" applyFont="1" applyBorder="1" applyAlignment="1">
      <alignment horizontal="center"/>
    </xf>
    <xf numFmtId="2" fontId="30" fillId="0" borderId="117" xfId="0" applyNumberFormat="1" applyFont="1" applyBorder="1" applyAlignment="1">
      <alignment horizontal="center"/>
    </xf>
    <xf numFmtId="0" fontId="30" fillId="17" borderId="117" xfId="0" applyFont="1" applyFill="1" applyBorder="1" applyAlignment="1">
      <alignment horizontal="center"/>
    </xf>
    <xf numFmtId="0" fontId="30" fillId="17" borderId="118" xfId="0" applyFont="1" applyFill="1" applyBorder="1" applyAlignment="1">
      <alignment horizontal="center"/>
    </xf>
    <xf numFmtId="0" fontId="30" fillId="17" borderId="119" xfId="0" applyFont="1" applyFill="1" applyBorder="1" applyAlignment="1">
      <alignment horizontal="center"/>
    </xf>
    <xf numFmtId="2" fontId="30" fillId="0" borderId="118" xfId="0" applyNumberFormat="1" applyFont="1" applyBorder="1" applyAlignment="1">
      <alignment horizontal="center"/>
    </xf>
    <xf numFmtId="0" fontId="30" fillId="0" borderId="124" xfId="0" applyFont="1" applyBorder="1" applyAlignment="1">
      <alignment horizontal="center"/>
    </xf>
    <xf numFmtId="0" fontId="30" fillId="0" borderId="125" xfId="0" applyFont="1" applyBorder="1" applyAlignment="1">
      <alignment horizontal="center"/>
    </xf>
    <xf numFmtId="0" fontId="30" fillId="0" borderId="126" xfId="0" applyFont="1" applyBorder="1" applyAlignment="1">
      <alignment horizontal="center"/>
    </xf>
    <xf numFmtId="0" fontId="30" fillId="0" borderId="127" xfId="0" applyFont="1" applyBorder="1" applyAlignment="1">
      <alignment horizontal="center"/>
    </xf>
    <xf numFmtId="0" fontId="8" fillId="0" borderId="128" xfId="0" applyFont="1" applyBorder="1" applyAlignment="1">
      <alignment horizontal="center"/>
    </xf>
    <xf numFmtId="0" fontId="11" fillId="0" borderId="0" xfId="0" applyFont="1" applyAlignment="1">
      <alignment horizontal="center" vertical="center" wrapText="1"/>
    </xf>
    <xf numFmtId="0" fontId="33" fillId="0" borderId="74" xfId="0" applyFont="1" applyBorder="1" applyAlignment="1">
      <alignment horizontal="left" vertical="center" indent="1"/>
    </xf>
    <xf numFmtId="0" fontId="33" fillId="0" borderId="59" xfId="0" applyFont="1" applyBorder="1" applyAlignment="1">
      <alignment horizontal="left" vertical="center" indent="1"/>
    </xf>
    <xf numFmtId="0" fontId="10" fillId="4" borderId="91" xfId="0" applyFont="1" applyFill="1" applyBorder="1" applyAlignment="1">
      <alignment horizontal="left"/>
    </xf>
    <xf numFmtId="0" fontId="3" fillId="0" borderId="92" xfId="0" applyFont="1" applyBorder="1"/>
    <xf numFmtId="0" fontId="3" fillId="0" borderId="93" xfId="0" applyFont="1" applyBorder="1"/>
    <xf numFmtId="0" fontId="10" fillId="4" borderId="23" xfId="0" applyFont="1" applyFill="1" applyBorder="1" applyAlignment="1">
      <alignment horizontal="left"/>
    </xf>
    <xf numFmtId="0" fontId="3" fillId="0" borderId="95" xfId="0" applyFont="1" applyBorder="1"/>
    <xf numFmtId="0" fontId="3" fillId="0" borderId="96" xfId="0" applyFont="1" applyBorder="1"/>
    <xf numFmtId="0" fontId="10" fillId="4" borderId="62" xfId="0" applyFont="1" applyFill="1" applyBorder="1" applyAlignment="1">
      <alignment horizontal="left" vertical="center"/>
    </xf>
    <xf numFmtId="0" fontId="3" fillId="0" borderId="63" xfId="0" applyFont="1" applyBorder="1"/>
    <xf numFmtId="0" fontId="3" fillId="0" borderId="64" xfId="0" applyFont="1" applyBorder="1"/>
    <xf numFmtId="0" fontId="7" fillId="10" borderId="90" xfId="0" applyFont="1" applyFill="1" applyBorder="1"/>
    <xf numFmtId="0" fontId="3" fillId="0" borderId="83" xfId="0" applyFont="1" applyBorder="1"/>
    <xf numFmtId="0" fontId="3" fillId="0" borderId="84" xfId="0" applyFont="1" applyBorder="1"/>
    <xf numFmtId="0" fontId="10" fillId="4" borderId="56" xfId="0" applyFont="1" applyFill="1" applyBorder="1" applyAlignment="1">
      <alignment horizontal="left"/>
    </xf>
    <xf numFmtId="0" fontId="3" fillId="0" borderId="101" xfId="0" applyFont="1" applyBorder="1"/>
    <xf numFmtId="0" fontId="3" fillId="0" borderId="102" xfId="0" applyFont="1" applyBorder="1"/>
    <xf numFmtId="0" fontId="5" fillId="0" borderId="0" xfId="0" applyFont="1"/>
    <xf numFmtId="0" fontId="0" fillId="0" borderId="0" xfId="0"/>
    <xf numFmtId="0" fontId="7" fillId="3" borderId="21" xfId="0" applyFont="1" applyFill="1" applyBorder="1"/>
    <xf numFmtId="0" fontId="3" fillId="0" borderId="22" xfId="0" applyFont="1" applyBorder="1"/>
    <xf numFmtId="0" fontId="3" fillId="0" borderId="24" xfId="0" applyFont="1" applyBorder="1"/>
    <xf numFmtId="0" fontId="7" fillId="10" borderId="21" xfId="0" applyFont="1" applyFill="1" applyBorder="1"/>
    <xf numFmtId="0" fontId="10" fillId="4" borderId="62" xfId="0" applyFont="1" applyFill="1" applyBorder="1"/>
    <xf numFmtId="0" fontId="14" fillId="4" borderId="9" xfId="0" applyFont="1" applyFill="1" applyBorder="1" applyAlignment="1">
      <alignment horizontal="center" vertical="center"/>
    </xf>
    <xf numFmtId="0" fontId="3" fillId="0" borderId="10" xfId="0" applyFont="1" applyBorder="1"/>
    <xf numFmtId="0" fontId="3" fillId="0" borderId="11" xfId="0" applyFont="1" applyBorder="1"/>
    <xf numFmtId="0" fontId="3" fillId="0" borderId="33" xfId="0" applyFont="1" applyBorder="1"/>
    <xf numFmtId="0" fontId="3" fillId="0" borderId="34" xfId="0" applyFont="1" applyBorder="1"/>
    <xf numFmtId="0" fontId="3" fillId="0" borderId="35" xfId="0" applyFont="1" applyBorder="1"/>
    <xf numFmtId="0" fontId="14" fillId="4" borderId="9" xfId="0" applyFont="1" applyFill="1" applyBorder="1" applyAlignment="1">
      <alignment horizontal="center" vertical="center" wrapText="1"/>
    </xf>
    <xf numFmtId="0" fontId="10" fillId="4" borderId="31" xfId="0" applyFont="1" applyFill="1" applyBorder="1" applyAlignment="1">
      <alignment horizontal="center" vertical="center"/>
    </xf>
    <xf numFmtId="0" fontId="3" fillId="0" borderId="2" xfId="0" applyFont="1" applyBorder="1"/>
    <xf numFmtId="0" fontId="3" fillId="0" borderId="32" xfId="0" applyFont="1" applyBorder="1"/>
    <xf numFmtId="0" fontId="14" fillId="4" borderId="45" xfId="0" applyFont="1" applyFill="1" applyBorder="1" applyAlignment="1">
      <alignment horizontal="center" vertical="center" wrapText="1"/>
    </xf>
    <xf numFmtId="0" fontId="3" fillId="0" borderId="46" xfId="0" applyFont="1" applyBorder="1"/>
    <xf numFmtId="0" fontId="3" fillId="0" borderId="60" xfId="0" applyFont="1" applyBorder="1"/>
    <xf numFmtId="0" fontId="13" fillId="4" borderId="31" xfId="0" applyFont="1" applyFill="1" applyBorder="1" applyAlignment="1">
      <alignment horizontal="center" vertical="center"/>
    </xf>
    <xf numFmtId="0" fontId="3" fillId="0" borderId="42" xfId="0" applyFont="1" applyBorder="1"/>
    <xf numFmtId="0" fontId="3" fillId="0" borderId="43" xfId="0" applyFont="1" applyBorder="1"/>
    <xf numFmtId="0" fontId="3" fillId="0" borderId="12" xfId="0" applyFont="1" applyBorder="1"/>
    <xf numFmtId="0" fontId="3" fillId="0" borderId="7" xfId="0" applyFont="1" applyBorder="1"/>
    <xf numFmtId="0" fontId="3" fillId="0" borderId="13" xfId="0" applyFont="1" applyBorder="1"/>
    <xf numFmtId="0" fontId="14" fillId="0" borderId="33" xfId="0" applyFont="1" applyBorder="1" applyAlignment="1">
      <alignment vertical="center"/>
    </xf>
    <xf numFmtId="0" fontId="10" fillId="4" borderId="36" xfId="0" applyFont="1" applyFill="1" applyBorder="1" applyAlignment="1">
      <alignment horizontal="center" vertical="center"/>
    </xf>
    <xf numFmtId="0" fontId="3" fillId="0" borderId="38" xfId="0" applyFont="1" applyBorder="1"/>
    <xf numFmtId="0" fontId="3" fillId="0" borderId="39" xfId="0" applyFont="1" applyBorder="1"/>
    <xf numFmtId="0" fontId="14" fillId="4" borderId="31" xfId="0" applyFont="1" applyFill="1" applyBorder="1" applyAlignment="1">
      <alignment horizontal="center" vertical="center"/>
    </xf>
    <xf numFmtId="0" fontId="3" fillId="0" borderId="3" xfId="0" applyFont="1" applyBorder="1"/>
    <xf numFmtId="0" fontId="3" fillId="0" borderId="44" xfId="0" applyFont="1" applyBorder="1"/>
    <xf numFmtId="0" fontId="16" fillId="4" borderId="21" xfId="0" applyFont="1" applyFill="1" applyBorder="1" applyAlignment="1">
      <alignment horizontal="right"/>
    </xf>
    <xf numFmtId="0" fontId="6" fillId="0" borderId="0" xfId="0" applyFont="1" applyAlignment="1">
      <alignment horizontal="center"/>
    </xf>
    <xf numFmtId="0" fontId="11" fillId="4" borderId="21" xfId="0" applyFont="1" applyFill="1" applyBorder="1" applyAlignment="1">
      <alignment horizontal="center"/>
    </xf>
    <xf numFmtId="0" fontId="12" fillId="3" borderId="21" xfId="0" applyFont="1" applyFill="1" applyBorder="1" applyAlignment="1">
      <alignment horizontal="center"/>
    </xf>
    <xf numFmtId="0" fontId="14" fillId="0" borderId="21" xfId="0" applyFont="1" applyBorder="1" applyAlignment="1">
      <alignment vertical="center"/>
    </xf>
    <xf numFmtId="0" fontId="10" fillId="4" borderId="21" xfId="0" applyFont="1" applyFill="1" applyBorder="1" applyAlignment="1">
      <alignment horizontal="center" vertical="center"/>
    </xf>
    <xf numFmtId="0" fontId="10" fillId="5" borderId="19" xfId="0" applyFont="1" applyFill="1" applyBorder="1" applyAlignment="1">
      <alignment horizontal="left"/>
    </xf>
    <xf numFmtId="0" fontId="3" fillId="0" borderId="20" xfId="0" applyFont="1" applyBorder="1"/>
    <xf numFmtId="0" fontId="17" fillId="9" borderId="1" xfId="0" applyFont="1" applyFill="1" applyBorder="1" applyAlignment="1">
      <alignment horizontal="left" vertical="center" wrapText="1"/>
    </xf>
    <xf numFmtId="0" fontId="3" fillId="0" borderId="4" xfId="0" applyFont="1" applyBorder="1"/>
    <xf numFmtId="0" fontId="3" fillId="0" borderId="5" xfId="0" applyFont="1" applyBorder="1"/>
    <xf numFmtId="0" fontId="3" fillId="0" borderId="6" xfId="0" applyFont="1" applyBorder="1"/>
    <xf numFmtId="0" fontId="3" fillId="0" borderId="8" xfId="0" applyFont="1" applyBorder="1"/>
    <xf numFmtId="0" fontId="8" fillId="12" borderId="9" xfId="0" applyFont="1" applyFill="1" applyBorder="1" applyAlignment="1">
      <alignment horizontal="center" vertical="center"/>
    </xf>
    <xf numFmtId="0" fontId="10" fillId="5" borderId="29" xfId="0" applyFont="1" applyFill="1" applyBorder="1" applyAlignment="1">
      <alignment horizontal="left" vertical="center"/>
    </xf>
    <xf numFmtId="0" fontId="3" fillId="0" borderId="30" xfId="0" applyFont="1" applyBorder="1"/>
    <xf numFmtId="0" fontId="10" fillId="6" borderId="19" xfId="0" applyFont="1" applyFill="1" applyBorder="1" applyAlignment="1">
      <alignment horizontal="left"/>
    </xf>
    <xf numFmtId="0" fontId="7" fillId="3" borderId="9" xfId="0" applyFont="1" applyFill="1" applyBorder="1" applyAlignment="1">
      <alignment horizontal="center" vertical="center"/>
    </xf>
    <xf numFmtId="0" fontId="1" fillId="2" borderId="1" xfId="0" applyFont="1" applyFill="1" applyBorder="1" applyAlignment="1">
      <alignment horizontal="center" vertical="center"/>
    </xf>
    <xf numFmtId="0" fontId="7" fillId="3" borderId="23" xfId="0" applyFont="1" applyFill="1" applyBorder="1" applyAlignment="1">
      <alignment horizontal="center"/>
    </xf>
    <xf numFmtId="0" fontId="10" fillId="4" borderId="62" xfId="0" applyFont="1" applyFill="1" applyBorder="1" applyAlignment="1">
      <alignment vertical="center"/>
    </xf>
    <xf numFmtId="0" fontId="10" fillId="4" borderId="56" xfId="0" applyFont="1" applyFill="1" applyBorder="1" applyAlignment="1">
      <alignment vertical="center"/>
    </xf>
    <xf numFmtId="0" fontId="10" fillId="4" borderId="29" xfId="0" applyFont="1" applyFill="1" applyBorder="1" applyAlignment="1">
      <alignment vertical="center"/>
    </xf>
    <xf numFmtId="0" fontId="3" fillId="0" borderId="97" xfId="0" applyFont="1" applyBorder="1"/>
    <xf numFmtId="0" fontId="3" fillId="0" borderId="98" xfId="0" applyFont="1" applyBorder="1"/>
    <xf numFmtId="0" fontId="7" fillId="13" borderId="21" xfId="0" applyFont="1" applyFill="1" applyBorder="1"/>
    <xf numFmtId="0" fontId="24" fillId="0" borderId="0" xfId="0" applyFont="1" applyAlignment="1">
      <alignment horizontal="center"/>
    </xf>
    <xf numFmtId="0" fontId="10" fillId="4" borderId="82" xfId="0" applyFont="1" applyFill="1" applyBorder="1" applyAlignment="1">
      <alignment horizontal="center" vertical="center"/>
    </xf>
    <xf numFmtId="0" fontId="14" fillId="0" borderId="9" xfId="0" applyFont="1" applyBorder="1" applyAlignment="1">
      <alignment horizontal="center" vertical="center"/>
    </xf>
    <xf numFmtId="0" fontId="22" fillId="0" borderId="0" xfId="0" applyFont="1" applyAlignment="1">
      <alignment horizontal="center"/>
    </xf>
    <xf numFmtId="0" fontId="23" fillId="3" borderId="79" xfId="0" applyFont="1" applyFill="1" applyBorder="1" applyAlignment="1">
      <alignment horizontal="center"/>
    </xf>
    <xf numFmtId="0" fontId="3" fillId="0" borderId="80" xfId="0" applyFont="1" applyBorder="1"/>
    <xf numFmtId="0" fontId="14" fillId="0" borderId="21" xfId="0" applyFont="1" applyBorder="1" applyAlignment="1">
      <alignment horizontal="center" vertical="center"/>
    </xf>
    <xf numFmtId="0" fontId="14" fillId="0" borderId="11" xfId="0" applyFont="1" applyBorder="1" applyAlignment="1">
      <alignment horizontal="center" vertical="center"/>
    </xf>
    <xf numFmtId="0" fontId="14" fillId="0" borderId="45" xfId="0" applyFont="1" applyBorder="1" applyAlignment="1">
      <alignment horizontal="center" vertical="center"/>
    </xf>
    <xf numFmtId="0" fontId="11" fillId="0" borderId="123" xfId="0" applyFont="1" applyBorder="1" applyAlignment="1">
      <alignment horizontal="center" vertical="center" wrapText="1"/>
    </xf>
    <xf numFmtId="0" fontId="3" fillId="0" borderId="116" xfId="0" applyFont="1" applyBorder="1"/>
    <xf numFmtId="0" fontId="3" fillId="0" borderId="122" xfId="0" applyFont="1" applyBorder="1"/>
    <xf numFmtId="0" fontId="3" fillId="0" borderId="129" xfId="0" applyFont="1" applyBorder="1"/>
    <xf numFmtId="0" fontId="28" fillId="15" borderId="29" xfId="0" applyFont="1" applyFill="1" applyBorder="1" applyAlignment="1">
      <alignment horizontal="center"/>
    </xf>
    <xf numFmtId="0" fontId="28" fillId="16" borderId="90" xfId="0" applyFont="1" applyFill="1" applyBorder="1" applyAlignment="1">
      <alignment horizontal="center"/>
    </xf>
    <xf numFmtId="0" fontId="11" fillId="0" borderId="116" xfId="0" applyFont="1" applyBorder="1" applyAlignment="1">
      <alignment horizontal="center" vertical="center" wrapText="1"/>
    </xf>
  </cellXfs>
  <cellStyles count="1">
    <cellStyle name="Normal" xfId="0" builtinId="0"/>
  </cellStyles>
  <dxfs count="6">
    <dxf>
      <font>
        <color rgb="FF9C5700"/>
      </font>
      <fill>
        <patternFill>
          <bgColor rgb="FFFFEB9C"/>
        </patternFill>
      </fill>
    </dxf>
    <dxf>
      <font>
        <color rgb="FF9C0006"/>
      </font>
      <fill>
        <patternFill>
          <bgColor rgb="FFFFC7CE"/>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sharedStrings" Target="sharedStrings.xml"/><Relationship Id="rId3" Type="http://schemas.openxmlformats.org/officeDocument/2006/relationships/worksheet" Target="worksheets/sheet3.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customschemas.google.com/relationships/workbookmetadata" Target="metadata"/><Relationship Id="rId4" Type="http://schemas.openxmlformats.org/officeDocument/2006/relationships/worksheet" Target="worksheets/sheet4.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13</xdr:col>
      <xdr:colOff>1219200</xdr:colOff>
      <xdr:row>0</xdr:row>
      <xdr:rowOff>0</xdr:rowOff>
    </xdr:from>
    <xdr:ext cx="1885950" cy="962025"/>
    <xdr:pic>
      <xdr:nvPicPr>
        <xdr:cNvPr id="2" name="image2.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0</xdr:col>
      <xdr:colOff>152400</xdr:colOff>
      <xdr:row>0</xdr:row>
      <xdr:rowOff>0</xdr:rowOff>
    </xdr:from>
    <xdr:ext cx="1000125" cy="962025"/>
    <xdr:pic>
      <xdr:nvPicPr>
        <xdr:cNvPr id="3" name="image1.png" title="Image">
          <a:extLst>
            <a:ext uri="{FF2B5EF4-FFF2-40B4-BE49-F238E27FC236}">
              <a16:creationId xmlns:a16="http://schemas.microsoft.com/office/drawing/2014/main" id="{00000000-0008-0000-0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1.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1.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a:extLst>
            <a:ext uri="{FF2B5EF4-FFF2-40B4-BE49-F238E27FC236}">
              <a16:creationId xmlns:a16="http://schemas.microsoft.com/office/drawing/2014/main" id="{00000000-0008-0000-02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257175</xdr:colOff>
      <xdr:row>0</xdr:row>
      <xdr:rowOff>142875</xdr:rowOff>
    </xdr:from>
    <xdr:ext cx="1066800" cy="1066800"/>
    <xdr:pic>
      <xdr:nvPicPr>
        <xdr:cNvPr id="2" name="image1.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28</xdr:col>
      <xdr:colOff>38100</xdr:colOff>
      <xdr:row>1</xdr:row>
      <xdr:rowOff>85725</xdr:rowOff>
    </xdr:from>
    <xdr:ext cx="1619250" cy="819150"/>
    <xdr:pic>
      <xdr:nvPicPr>
        <xdr:cNvPr id="3" name="image2.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0</xdr:col>
      <xdr:colOff>247650</xdr:colOff>
      <xdr:row>0</xdr:row>
      <xdr:rowOff>38100</xdr:rowOff>
    </xdr:from>
    <xdr:ext cx="752475" cy="752475"/>
    <xdr:pic>
      <xdr:nvPicPr>
        <xdr:cNvPr id="2" name="image1.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9</xdr:col>
      <xdr:colOff>1133475</xdr:colOff>
      <xdr:row>0</xdr:row>
      <xdr:rowOff>0</xdr:rowOff>
    </xdr:from>
    <xdr:ext cx="1314450" cy="657225"/>
    <xdr:pic>
      <xdr:nvPicPr>
        <xdr:cNvPr id="3" name="image2.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60"/>
    <outlinePr summaryBelow="0" summaryRight="0"/>
  </sheetPr>
  <dimension ref="A1:Q1000"/>
  <sheetViews>
    <sheetView showGridLines="0" topLeftCell="E1" workbookViewId="0">
      <pane ySplit="5" topLeftCell="A6" activePane="bottomLeft" state="frozen"/>
      <selection pane="bottomLeft" activeCell="N27" sqref="N27"/>
    </sheetView>
  </sheetViews>
  <sheetFormatPr baseColWidth="10" defaultColWidth="12.6640625" defaultRowHeight="15" customHeight="1" x14ac:dyDescent="0.15"/>
  <cols>
    <col min="1" max="2" width="3.83203125" customWidth="1"/>
    <col min="3" max="3" width="19.6640625" customWidth="1"/>
    <col min="4" max="4" width="2.1640625" customWidth="1"/>
    <col min="5" max="5" width="18.83203125" customWidth="1"/>
    <col min="6" max="6" width="30.33203125" customWidth="1"/>
    <col min="7" max="10" width="3.83203125" customWidth="1"/>
    <col min="11" max="11" width="37.6640625" customWidth="1"/>
    <col min="12" max="13" width="3.83203125" customWidth="1"/>
    <col min="14" max="14" width="37.6640625" customWidth="1"/>
    <col min="15" max="16" width="3.83203125" customWidth="1"/>
  </cols>
  <sheetData>
    <row r="1" spans="1:17" ht="15.75" customHeight="1" x14ac:dyDescent="0.15">
      <c r="A1" s="244" t="s">
        <v>0</v>
      </c>
      <c r="B1" s="208"/>
      <c r="C1" s="208"/>
      <c r="D1" s="208"/>
      <c r="E1" s="208"/>
      <c r="F1" s="208"/>
      <c r="G1" s="208"/>
      <c r="H1" s="208"/>
      <c r="I1" s="208"/>
      <c r="J1" s="208"/>
      <c r="K1" s="208"/>
      <c r="L1" s="208"/>
      <c r="M1" s="208"/>
      <c r="N1" s="208"/>
      <c r="O1" s="208"/>
      <c r="P1" s="224"/>
      <c r="Q1" s="3"/>
    </row>
    <row r="2" spans="1:17" ht="15.75" customHeight="1" x14ac:dyDescent="0.15">
      <c r="A2" s="235"/>
      <c r="B2" s="194"/>
      <c r="C2" s="194"/>
      <c r="D2" s="194"/>
      <c r="E2" s="194"/>
      <c r="F2" s="194"/>
      <c r="G2" s="194"/>
      <c r="H2" s="194"/>
      <c r="I2" s="194"/>
      <c r="J2" s="194"/>
      <c r="K2" s="194"/>
      <c r="L2" s="194"/>
      <c r="M2" s="194"/>
      <c r="N2" s="194"/>
      <c r="O2" s="194"/>
      <c r="P2" s="236"/>
      <c r="Q2" s="3"/>
    </row>
    <row r="3" spans="1:17" ht="15.75" customHeight="1" x14ac:dyDescent="0.15">
      <c r="A3" s="235"/>
      <c r="B3" s="194"/>
      <c r="C3" s="194"/>
      <c r="D3" s="194"/>
      <c r="E3" s="194"/>
      <c r="F3" s="194"/>
      <c r="G3" s="194"/>
      <c r="H3" s="194"/>
      <c r="I3" s="194"/>
      <c r="J3" s="194"/>
      <c r="K3" s="194"/>
      <c r="L3" s="194"/>
      <c r="M3" s="194"/>
      <c r="N3" s="194"/>
      <c r="O3" s="194"/>
      <c r="P3" s="236"/>
      <c r="Q3" s="3"/>
    </row>
    <row r="4" spans="1:17" ht="15.75" customHeight="1" x14ac:dyDescent="0.15">
      <c r="A4" s="235"/>
      <c r="B4" s="194"/>
      <c r="C4" s="194"/>
      <c r="D4" s="194"/>
      <c r="E4" s="194"/>
      <c r="F4" s="194"/>
      <c r="G4" s="194"/>
      <c r="H4" s="194"/>
      <c r="I4" s="194"/>
      <c r="J4" s="194"/>
      <c r="K4" s="194"/>
      <c r="L4" s="194"/>
      <c r="M4" s="194"/>
      <c r="N4" s="194"/>
      <c r="O4" s="194"/>
      <c r="P4" s="236"/>
      <c r="Q4" s="3"/>
    </row>
    <row r="5" spans="1:17" ht="15.75" customHeight="1" x14ac:dyDescent="0.15">
      <c r="A5" s="237"/>
      <c r="B5" s="217"/>
      <c r="C5" s="217"/>
      <c r="D5" s="217"/>
      <c r="E5" s="217"/>
      <c r="F5" s="217"/>
      <c r="G5" s="217"/>
      <c r="H5" s="217"/>
      <c r="I5" s="217"/>
      <c r="J5" s="217"/>
      <c r="K5" s="217"/>
      <c r="L5" s="217"/>
      <c r="M5" s="217"/>
      <c r="N5" s="217"/>
      <c r="O5" s="217"/>
      <c r="P5" s="238"/>
      <c r="Q5" s="3"/>
    </row>
    <row r="6" spans="1:17" ht="15.75" customHeight="1" x14ac:dyDescent="0.15">
      <c r="A6" s="4"/>
      <c r="B6" s="4"/>
      <c r="C6" s="4"/>
      <c r="D6" s="4"/>
      <c r="E6" s="4"/>
      <c r="F6" s="4"/>
      <c r="G6" s="4"/>
      <c r="H6" s="4"/>
      <c r="I6" s="4"/>
      <c r="J6" s="4"/>
      <c r="K6" s="4"/>
      <c r="L6" s="4"/>
      <c r="M6" s="4"/>
      <c r="N6" s="4"/>
      <c r="O6" s="4"/>
      <c r="P6" s="4"/>
      <c r="Q6" s="3"/>
    </row>
    <row r="7" spans="1:17" ht="15.75" customHeight="1" x14ac:dyDescent="0.15">
      <c r="A7" s="4"/>
      <c r="B7" s="243" t="s">
        <v>2</v>
      </c>
      <c r="C7" s="201"/>
      <c r="D7" s="201"/>
      <c r="E7" s="201"/>
      <c r="F7" s="201"/>
      <c r="G7" s="202"/>
      <c r="H7" s="4"/>
      <c r="I7" s="243" t="s">
        <v>3</v>
      </c>
      <c r="J7" s="201"/>
      <c r="K7" s="201"/>
      <c r="L7" s="201"/>
      <c r="M7" s="201"/>
      <c r="N7" s="201"/>
      <c r="O7" s="202"/>
      <c r="P7" s="4"/>
      <c r="Q7" s="3"/>
    </row>
    <row r="8" spans="1:17" ht="15.75" customHeight="1" x14ac:dyDescent="0.15">
      <c r="A8" s="4"/>
      <c r="B8" s="216"/>
      <c r="C8" s="217"/>
      <c r="D8" s="217"/>
      <c r="E8" s="217"/>
      <c r="F8" s="217"/>
      <c r="G8" s="218"/>
      <c r="H8" s="4"/>
      <c r="I8" s="216"/>
      <c r="J8" s="217"/>
      <c r="K8" s="217"/>
      <c r="L8" s="217"/>
      <c r="M8" s="217"/>
      <c r="N8" s="217"/>
      <c r="O8" s="218"/>
      <c r="P8" s="4"/>
      <c r="Q8" s="3"/>
    </row>
    <row r="9" spans="1:17" ht="15.75" customHeight="1" x14ac:dyDescent="0.15">
      <c r="A9" s="3"/>
      <c r="B9" s="6"/>
      <c r="C9" s="8"/>
      <c r="D9" s="8"/>
      <c r="E9" s="8"/>
      <c r="F9" s="8"/>
      <c r="G9" s="9"/>
      <c r="H9" s="3"/>
      <c r="I9" s="6"/>
      <c r="J9" s="8"/>
      <c r="K9" s="8"/>
      <c r="L9" s="8"/>
      <c r="M9" s="8"/>
      <c r="N9" s="8"/>
      <c r="O9" s="9"/>
      <c r="P9" s="3"/>
      <c r="Q9" s="3"/>
    </row>
    <row r="10" spans="1:17" ht="15.75" customHeight="1" x14ac:dyDescent="0.15">
      <c r="A10" s="3"/>
      <c r="B10" s="6"/>
      <c r="C10" s="10" t="s">
        <v>4</v>
      </c>
      <c r="D10" s="11" t="s">
        <v>5</v>
      </c>
      <c r="E10" s="242" t="s">
        <v>67</v>
      </c>
      <c r="F10" s="233"/>
      <c r="G10" s="9"/>
      <c r="H10" s="3"/>
      <c r="I10" s="6"/>
      <c r="J10" s="245" t="s">
        <v>6</v>
      </c>
      <c r="K10" s="233"/>
      <c r="L10" s="8"/>
      <c r="M10" s="245" t="s">
        <v>7</v>
      </c>
      <c r="N10" s="233"/>
      <c r="O10" s="9"/>
      <c r="P10" s="3"/>
      <c r="Q10" s="3"/>
    </row>
    <row r="11" spans="1:17" ht="15.75" customHeight="1" x14ac:dyDescent="0.15">
      <c r="A11" s="3"/>
      <c r="B11" s="6"/>
      <c r="C11" s="10" t="s">
        <v>8</v>
      </c>
      <c r="D11" s="11" t="s">
        <v>5</v>
      </c>
      <c r="E11" s="12" t="s">
        <v>68</v>
      </c>
      <c r="F11" s="13"/>
      <c r="G11" s="9"/>
      <c r="H11" s="3"/>
      <c r="I11" s="6"/>
      <c r="J11" s="14">
        <v>1</v>
      </c>
      <c r="K11" s="176"/>
      <c r="L11" s="8"/>
      <c r="M11" s="14">
        <v>1</v>
      </c>
      <c r="N11" s="176"/>
      <c r="O11" s="9"/>
      <c r="P11" s="3"/>
      <c r="Q11" s="3"/>
    </row>
    <row r="12" spans="1:17" ht="15.75" customHeight="1" x14ac:dyDescent="0.15">
      <c r="A12" s="3"/>
      <c r="B12" s="6"/>
      <c r="C12" s="8"/>
      <c r="D12" s="8"/>
      <c r="E12" s="17"/>
      <c r="F12" s="17"/>
      <c r="G12" s="9"/>
      <c r="H12" s="3"/>
      <c r="I12" s="6"/>
      <c r="J12" s="14">
        <v>2</v>
      </c>
      <c r="K12" s="176"/>
      <c r="L12" s="8"/>
      <c r="M12" s="14">
        <v>2</v>
      </c>
      <c r="N12" s="176"/>
      <c r="O12" s="9"/>
      <c r="P12" s="3"/>
      <c r="Q12" s="3"/>
    </row>
    <row r="13" spans="1:17" ht="15.75" customHeight="1" x14ac:dyDescent="0.15">
      <c r="A13" s="3"/>
      <c r="B13" s="6"/>
      <c r="C13" s="19" t="s">
        <v>9</v>
      </c>
      <c r="D13" s="20" t="s">
        <v>5</v>
      </c>
      <c r="E13" s="232">
        <v>500246</v>
      </c>
      <c r="F13" s="233"/>
      <c r="G13" s="9"/>
      <c r="H13" s="3"/>
      <c r="I13" s="6"/>
      <c r="J13" s="14">
        <v>3</v>
      </c>
      <c r="K13" s="176"/>
      <c r="L13" s="8"/>
      <c r="M13" s="14">
        <v>3</v>
      </c>
      <c r="N13" s="176"/>
      <c r="O13" s="9"/>
      <c r="P13" s="3"/>
      <c r="Q13" s="3"/>
    </row>
    <row r="14" spans="1:17" ht="15.75" customHeight="1" x14ac:dyDescent="0.15">
      <c r="A14" s="3"/>
      <c r="B14" s="6"/>
      <c r="C14" s="21" t="s">
        <v>10</v>
      </c>
      <c r="D14" s="22" t="s">
        <v>5</v>
      </c>
      <c r="E14" s="240" t="s">
        <v>69</v>
      </c>
      <c r="F14" s="241"/>
      <c r="G14" s="9"/>
      <c r="H14" s="3"/>
      <c r="I14" s="6"/>
      <c r="J14" s="14">
        <v>4</v>
      </c>
      <c r="K14" s="176"/>
      <c r="L14" s="8"/>
      <c r="M14" s="14">
        <v>4</v>
      </c>
      <c r="N14" s="176"/>
      <c r="O14" s="9"/>
      <c r="P14" s="3"/>
      <c r="Q14" s="3"/>
    </row>
    <row r="15" spans="1:17" ht="15.75" customHeight="1" x14ac:dyDescent="0.15">
      <c r="A15" s="3"/>
      <c r="B15" s="6"/>
      <c r="C15" s="19" t="s">
        <v>11</v>
      </c>
      <c r="D15" s="20" t="s">
        <v>5</v>
      </c>
      <c r="E15" s="242" t="inlineStr">
        <is>
          <t>2026-2027</t>
        </is>
      </c>
      <c r="F15" s="233"/>
      <c r="G15" s="9"/>
      <c r="H15" s="3"/>
      <c r="I15" s="6"/>
      <c r="J15" s="14">
        <v>5</v>
      </c>
      <c r="K15" s="176"/>
      <c r="L15" s="8"/>
      <c r="M15" s="14">
        <v>5</v>
      </c>
      <c r="N15" s="176"/>
      <c r="O15" s="9"/>
      <c r="P15" s="3"/>
      <c r="Q15" s="3"/>
    </row>
    <row r="16" spans="1:17" ht="15.75" customHeight="1" x14ac:dyDescent="0.15">
      <c r="A16" s="3"/>
      <c r="B16" s="6"/>
      <c r="C16" s="19" t="s">
        <v>13</v>
      </c>
      <c r="D16" s="20" t="s">
        <v>5</v>
      </c>
      <c r="E16" s="232" t="s">
        <v>71</v>
      </c>
      <c r="F16" s="233"/>
      <c r="G16" s="9"/>
      <c r="H16" s="3"/>
      <c r="I16" s="6"/>
      <c r="J16" s="14">
        <v>6</v>
      </c>
      <c r="K16" s="176"/>
      <c r="L16" s="8"/>
      <c r="M16" s="14">
        <v>6</v>
      </c>
      <c r="N16" s="176"/>
      <c r="O16" s="9"/>
      <c r="P16" s="3"/>
      <c r="Q16" s="3"/>
    </row>
    <row r="17" spans="1:17" ht="15.75" customHeight="1" thickBot="1" x14ac:dyDescent="0.2">
      <c r="A17" s="3"/>
      <c r="B17" s="23"/>
      <c r="C17" s="24"/>
      <c r="D17" s="24"/>
      <c r="E17" s="24"/>
      <c r="F17" s="24"/>
      <c r="G17" s="25"/>
      <c r="H17" s="3"/>
      <c r="I17" s="6"/>
      <c r="J17" s="14">
        <v>7</v>
      </c>
      <c r="K17" s="176"/>
      <c r="L17" s="8"/>
      <c r="M17" s="14">
        <v>7</v>
      </c>
      <c r="N17" s="176"/>
      <c r="O17" s="9"/>
      <c r="P17" s="3"/>
      <c r="Q17" s="3"/>
    </row>
    <row r="18" spans="1:17" ht="15.75" customHeight="1" x14ac:dyDescent="0.15">
      <c r="A18" s="3"/>
      <c r="B18" s="3"/>
      <c r="C18" s="3"/>
      <c r="D18" s="3"/>
      <c r="E18" s="3"/>
      <c r="F18" s="3"/>
      <c r="G18" s="3"/>
      <c r="H18" s="3"/>
      <c r="I18" s="6"/>
      <c r="J18" s="14">
        <v>8</v>
      </c>
      <c r="K18" s="176"/>
      <c r="L18" s="8"/>
      <c r="M18" s="14">
        <v>8</v>
      </c>
      <c r="N18" s="176"/>
      <c r="O18" s="9"/>
      <c r="P18" s="3"/>
      <c r="Q18" s="3"/>
    </row>
    <row r="19" spans="1:17" ht="15.75" customHeight="1" thickBot="1" x14ac:dyDescent="0.2">
      <c r="A19" s="3"/>
      <c r="B19" s="3"/>
      <c r="C19" s="3"/>
      <c r="D19" s="3"/>
      <c r="E19" s="3"/>
      <c r="F19" s="3"/>
      <c r="G19" s="3"/>
      <c r="H19" s="3"/>
      <c r="I19" s="6"/>
      <c r="J19" s="14">
        <v>9</v>
      </c>
      <c r="K19" s="176"/>
      <c r="L19" s="8"/>
      <c r="M19" s="14">
        <v>9</v>
      </c>
      <c r="N19" s="176"/>
      <c r="O19" s="9"/>
      <c r="P19" s="3"/>
      <c r="Q19" s="3"/>
    </row>
    <row r="20" spans="1:17" ht="15.75" customHeight="1" x14ac:dyDescent="0.15">
      <c r="A20" s="3"/>
      <c r="B20" s="243" t="s">
        <v>20</v>
      </c>
      <c r="C20" s="201"/>
      <c r="D20" s="201"/>
      <c r="E20" s="201"/>
      <c r="F20" s="201"/>
      <c r="G20" s="202"/>
      <c r="H20" s="3"/>
      <c r="I20" s="6"/>
      <c r="J20" s="14">
        <v>10</v>
      </c>
      <c r="K20" s="176"/>
      <c r="L20" s="8"/>
      <c r="M20" s="14">
        <v>10</v>
      </c>
      <c r="N20" s="176"/>
      <c r="O20" s="9"/>
      <c r="P20" s="3"/>
      <c r="Q20" s="3"/>
    </row>
    <row r="21" spans="1:17" ht="15.75" customHeight="1" x14ac:dyDescent="0.15">
      <c r="A21" s="3"/>
      <c r="B21" s="216"/>
      <c r="C21" s="217"/>
      <c r="D21" s="217"/>
      <c r="E21" s="217"/>
      <c r="F21" s="217"/>
      <c r="G21" s="218"/>
      <c r="H21" s="3"/>
      <c r="I21" s="6"/>
      <c r="J21" s="14">
        <v>11</v>
      </c>
      <c r="K21" s="176"/>
      <c r="L21" s="8"/>
      <c r="M21" s="14">
        <v>11</v>
      </c>
      <c r="N21" s="176"/>
      <c r="O21" s="9"/>
      <c r="P21" s="3"/>
      <c r="Q21" s="3"/>
    </row>
    <row r="22" spans="1:17" ht="15.75" customHeight="1" x14ac:dyDescent="0.15">
      <c r="A22" s="3"/>
      <c r="B22" s="6"/>
      <c r="C22" s="8"/>
      <c r="D22" s="8"/>
      <c r="E22" s="8"/>
      <c r="F22" s="8"/>
      <c r="G22" s="9"/>
      <c r="H22" s="3"/>
      <c r="I22" s="6"/>
      <c r="J22" s="14">
        <v>12</v>
      </c>
      <c r="K22" s="176"/>
      <c r="L22" s="8"/>
      <c r="M22" s="14">
        <v>12</v>
      </c>
      <c r="N22" s="176"/>
      <c r="O22" s="9"/>
      <c r="P22" s="3"/>
      <c r="Q22" s="3"/>
    </row>
    <row r="23" spans="1:17" ht="15.75" customHeight="1" x14ac:dyDescent="0.15">
      <c r="A23" s="3"/>
      <c r="B23" s="6"/>
      <c r="C23" s="26" t="s">
        <v>25</v>
      </c>
      <c r="D23" s="27" t="s">
        <v>5</v>
      </c>
      <c r="E23" s="232"/>
      <c r="F23" s="233"/>
      <c r="G23" s="9"/>
      <c r="H23" s="3"/>
      <c r="I23" s="6"/>
      <c r="J23" s="14">
        <v>13</v>
      </c>
      <c r="K23" s="176"/>
      <c r="L23" s="8"/>
      <c r="M23" s="14">
        <v>13</v>
      </c>
      <c r="N23" s="176"/>
      <c r="O23" s="9"/>
      <c r="P23" s="3"/>
      <c r="Q23" s="3"/>
    </row>
    <row r="24" spans="1:17" ht="15.75" customHeight="1" x14ac:dyDescent="0.15">
      <c r="A24" s="3"/>
      <c r="B24" s="6"/>
      <c r="C24" s="26" t="s">
        <v>18</v>
      </c>
      <c r="D24" s="27" t="s">
        <v>5</v>
      </c>
      <c r="E24" s="242" t="inlineStr">
        <is>
          <t>English</t>
        </is>
      </c>
      <c r="F24" s="233"/>
      <c r="G24" s="9"/>
      <c r="H24" s="3"/>
      <c r="I24" s="6"/>
      <c r="J24" s="14">
        <v>14</v>
      </c>
      <c r="K24" s="176"/>
      <c r="L24" s="8"/>
      <c r="M24" s="14">
        <v>14</v>
      </c>
      <c r="N24" s="176"/>
      <c r="O24" s="9"/>
      <c r="P24" s="3"/>
      <c r="Q24" s="3"/>
    </row>
    <row r="25" spans="1:17" ht="15.75" customHeight="1" x14ac:dyDescent="0.15">
      <c r="A25" s="3"/>
      <c r="B25" s="6"/>
      <c r="C25" s="10" t="s">
        <v>15</v>
      </c>
      <c r="D25" s="11" t="s">
        <v>5</v>
      </c>
      <c r="E25" s="232"/>
      <c r="F25" s="233"/>
      <c r="G25" s="9"/>
      <c r="H25" s="3"/>
      <c r="I25" s="6"/>
      <c r="J25" s="14">
        <v>15</v>
      </c>
      <c r="K25" s="176"/>
      <c r="L25" s="8"/>
      <c r="M25" s="14">
        <v>15</v>
      </c>
      <c r="N25" s="176"/>
      <c r="O25" s="9"/>
      <c r="P25" s="3"/>
      <c r="Q25" s="3"/>
    </row>
    <row r="26" spans="1:17" ht="15.75" customHeight="1" thickBot="1" x14ac:dyDescent="0.2">
      <c r="A26" s="3"/>
      <c r="B26" s="6"/>
      <c r="C26" s="35" t="s">
        <v>19</v>
      </c>
      <c r="D26" s="36" t="s">
        <v>5</v>
      </c>
      <c r="E26" s="232"/>
      <c r="F26" s="233"/>
      <c r="G26" s="9"/>
      <c r="H26" s="3"/>
      <c r="I26" s="6"/>
      <c r="J26" s="14">
        <v>16</v>
      </c>
      <c r="K26" s="176"/>
      <c r="L26" s="8"/>
      <c r="M26" s="14">
        <v>16</v>
      </c>
      <c r="N26" s="177"/>
      <c r="O26" s="9"/>
      <c r="P26" s="3"/>
      <c r="Q26" s="3"/>
    </row>
    <row r="27" spans="1:17" ht="15.75" customHeight="1" x14ac:dyDescent="0.15">
      <c r="A27" s="3"/>
      <c r="B27" s="6"/>
      <c r="C27" s="8"/>
      <c r="D27" s="8"/>
      <c r="E27" s="8"/>
      <c r="F27" s="8"/>
      <c r="G27" s="9"/>
      <c r="H27" s="3"/>
      <c r="I27" s="6"/>
      <c r="J27" s="14">
        <v>17</v>
      </c>
      <c r="K27" s="176"/>
      <c r="L27" s="8"/>
      <c r="M27" s="14">
        <v>17</v>
      </c>
      <c r="N27" s="15"/>
      <c r="O27" s="9"/>
      <c r="P27" s="3"/>
      <c r="Q27" s="3"/>
    </row>
    <row r="28" spans="1:17" ht="13.5" customHeight="1" x14ac:dyDescent="0.15">
      <c r="A28" s="3"/>
      <c r="B28" s="42"/>
      <c r="C28" s="234" t="s">
        <v>38</v>
      </c>
      <c r="D28" s="208"/>
      <c r="E28" s="208"/>
      <c r="F28" s="224"/>
      <c r="G28" s="44"/>
      <c r="H28" s="3"/>
      <c r="I28" s="6"/>
      <c r="J28" s="14">
        <v>18</v>
      </c>
      <c r="K28" s="176"/>
      <c r="L28" s="8"/>
      <c r="M28" s="14">
        <v>18</v>
      </c>
      <c r="N28" s="15"/>
      <c r="O28" s="9"/>
      <c r="P28" s="3"/>
      <c r="Q28" s="3"/>
    </row>
    <row r="29" spans="1:17" ht="15.75" customHeight="1" x14ac:dyDescent="0.15">
      <c r="A29" s="3"/>
      <c r="B29" s="42"/>
      <c r="C29" s="235"/>
      <c r="D29" s="194"/>
      <c r="E29" s="194"/>
      <c r="F29" s="236"/>
      <c r="G29" s="44"/>
      <c r="H29" s="3"/>
      <c r="I29" s="6"/>
      <c r="J29" s="14">
        <v>19</v>
      </c>
      <c r="K29" s="176"/>
      <c r="L29" s="8"/>
      <c r="M29" s="14">
        <v>19</v>
      </c>
      <c r="N29" s="15"/>
      <c r="O29" s="9"/>
      <c r="P29" s="3"/>
      <c r="Q29" s="3"/>
    </row>
    <row r="30" spans="1:17" ht="15.75" customHeight="1" x14ac:dyDescent="0.15">
      <c r="A30" s="3"/>
      <c r="B30" s="42"/>
      <c r="C30" s="235"/>
      <c r="D30" s="194"/>
      <c r="E30" s="194"/>
      <c r="F30" s="236"/>
      <c r="G30" s="44"/>
      <c r="H30" s="3"/>
      <c r="I30" s="6"/>
      <c r="J30" s="14">
        <v>20</v>
      </c>
      <c r="K30" s="176"/>
      <c r="L30" s="8"/>
      <c r="M30" s="14">
        <v>20</v>
      </c>
      <c r="N30" s="15"/>
      <c r="O30" s="9"/>
      <c r="P30" s="3"/>
      <c r="Q30" s="3"/>
    </row>
    <row r="31" spans="1:17" ht="15.75" customHeight="1" x14ac:dyDescent="0.15">
      <c r="A31" s="3"/>
      <c r="B31" s="42"/>
      <c r="C31" s="237"/>
      <c r="D31" s="217"/>
      <c r="E31" s="217"/>
      <c r="F31" s="238"/>
      <c r="G31" s="44"/>
      <c r="H31" s="3"/>
      <c r="I31" s="6"/>
      <c r="J31" s="14">
        <v>21</v>
      </c>
      <c r="K31" s="176"/>
      <c r="L31" s="8"/>
      <c r="M31" s="14">
        <v>21</v>
      </c>
      <c r="N31" s="15"/>
      <c r="O31" s="9"/>
      <c r="P31" s="3"/>
      <c r="Q31" s="3"/>
    </row>
    <row r="32" spans="1:17" ht="15.75" customHeight="1" x14ac:dyDescent="0.15">
      <c r="A32" s="3"/>
      <c r="B32" s="50"/>
      <c r="C32" s="51"/>
      <c r="D32" s="51"/>
      <c r="E32" s="51"/>
      <c r="F32" s="51"/>
      <c r="G32" s="52"/>
      <c r="H32" s="3"/>
      <c r="I32" s="6"/>
      <c r="J32" s="14">
        <v>22</v>
      </c>
      <c r="K32" s="176"/>
      <c r="L32" s="8"/>
      <c r="M32" s="14">
        <v>22</v>
      </c>
      <c r="N32" s="15"/>
      <c r="O32" s="9"/>
      <c r="P32" s="3"/>
      <c r="Q32" s="3"/>
    </row>
    <row r="33" spans="1:17" ht="15.75" customHeight="1" x14ac:dyDescent="0.15">
      <c r="A33" s="3"/>
      <c r="B33" s="3"/>
      <c r="C33" s="3"/>
      <c r="D33" s="3"/>
      <c r="E33" s="3"/>
      <c r="F33" s="3"/>
      <c r="G33" s="3"/>
      <c r="H33" s="3"/>
      <c r="I33" s="6"/>
      <c r="J33" s="14">
        <v>23</v>
      </c>
      <c r="K33" s="176"/>
      <c r="L33" s="8"/>
      <c r="M33" s="14">
        <v>23</v>
      </c>
      <c r="N33" s="15"/>
      <c r="O33" s="9"/>
      <c r="P33" s="3"/>
      <c r="Q33" s="3"/>
    </row>
    <row r="34" spans="1:17" ht="15.75" customHeight="1" x14ac:dyDescent="0.15">
      <c r="A34" s="3"/>
      <c r="B34" s="3"/>
      <c r="C34" s="3"/>
      <c r="D34" s="3"/>
      <c r="E34" s="3"/>
      <c r="F34" s="3"/>
      <c r="G34" s="3"/>
      <c r="H34" s="3"/>
      <c r="I34" s="6"/>
      <c r="J34" s="14">
        <v>24</v>
      </c>
      <c r="K34" s="176"/>
      <c r="L34" s="8"/>
      <c r="M34" s="14">
        <v>24</v>
      </c>
      <c r="N34" s="15"/>
      <c r="O34" s="9"/>
      <c r="P34" s="3"/>
      <c r="Q34" s="3"/>
    </row>
    <row r="35" spans="1:17" ht="15.75" customHeight="1" x14ac:dyDescent="0.15">
      <c r="A35" s="3"/>
      <c r="B35" s="3"/>
      <c r="C35" s="3"/>
      <c r="D35" s="3"/>
      <c r="E35" s="3"/>
      <c r="F35" s="3"/>
      <c r="G35" s="3"/>
      <c r="H35" s="3"/>
      <c r="I35" s="6"/>
      <c r="J35" s="14">
        <v>25</v>
      </c>
      <c r="K35" s="176"/>
      <c r="L35" s="8"/>
      <c r="M35" s="14">
        <v>25</v>
      </c>
      <c r="N35" s="15"/>
      <c r="O35" s="9"/>
      <c r="P35" s="3"/>
      <c r="Q35" s="3"/>
    </row>
    <row r="36" spans="1:17" ht="15.75" customHeight="1" x14ac:dyDescent="0.15">
      <c r="A36" s="3"/>
      <c r="B36" s="239" t="s">
        <v>39</v>
      </c>
      <c r="C36" s="201"/>
      <c r="D36" s="201"/>
      <c r="E36" s="201"/>
      <c r="F36" s="201"/>
      <c r="G36" s="202"/>
      <c r="H36" s="3"/>
      <c r="I36" s="6"/>
      <c r="J36" s="14">
        <v>26</v>
      </c>
      <c r="K36" s="15"/>
      <c r="L36" s="8"/>
      <c r="M36" s="14">
        <v>26</v>
      </c>
      <c r="N36" s="15"/>
      <c r="O36" s="9"/>
      <c r="P36" s="3"/>
      <c r="Q36" s="3"/>
    </row>
    <row r="37" spans="1:17" ht="15.75" customHeight="1" x14ac:dyDescent="0.15">
      <c r="A37" s="3"/>
      <c r="B37" s="214"/>
      <c r="C37" s="194"/>
      <c r="D37" s="194"/>
      <c r="E37" s="194"/>
      <c r="F37" s="194"/>
      <c r="G37" s="215"/>
      <c r="H37" s="3"/>
      <c r="I37" s="6"/>
      <c r="J37" s="14">
        <v>27</v>
      </c>
      <c r="K37" s="15"/>
      <c r="L37" s="8"/>
      <c r="M37" s="14">
        <v>27</v>
      </c>
      <c r="N37" s="15"/>
      <c r="O37" s="9"/>
      <c r="P37" s="3"/>
      <c r="Q37" s="3"/>
    </row>
    <row r="38" spans="1:17" ht="15.75" customHeight="1" x14ac:dyDescent="0.15">
      <c r="A38" s="3"/>
      <c r="B38" s="203"/>
      <c r="C38" s="204"/>
      <c r="D38" s="204"/>
      <c r="E38" s="204"/>
      <c r="F38" s="204"/>
      <c r="G38" s="205"/>
      <c r="H38" s="3"/>
      <c r="I38" s="6"/>
      <c r="J38" s="14">
        <v>28</v>
      </c>
      <c r="K38" s="15"/>
      <c r="L38" s="8"/>
      <c r="M38" s="14">
        <v>28</v>
      </c>
      <c r="N38" s="15"/>
      <c r="O38" s="9"/>
      <c r="P38" s="3"/>
      <c r="Q38" s="3"/>
    </row>
    <row r="39" spans="1:17" ht="15.75" customHeight="1" x14ac:dyDescent="0.15">
      <c r="A39" s="3"/>
      <c r="B39" s="3"/>
      <c r="C39" s="3"/>
      <c r="D39" s="3"/>
      <c r="E39" s="3"/>
      <c r="F39" s="3"/>
      <c r="G39" s="3"/>
      <c r="H39" s="3"/>
      <c r="I39" s="6"/>
      <c r="J39" s="14">
        <v>29</v>
      </c>
      <c r="K39" s="15"/>
      <c r="L39" s="8"/>
      <c r="M39" s="14">
        <v>29</v>
      </c>
      <c r="N39" s="15"/>
      <c r="O39" s="9"/>
      <c r="P39" s="3"/>
      <c r="Q39" s="3"/>
    </row>
    <row r="40" spans="1:17" ht="15.75" customHeight="1" x14ac:dyDescent="0.15">
      <c r="A40" s="3"/>
      <c r="B40" s="3"/>
      <c r="C40" s="3"/>
      <c r="D40" s="3"/>
      <c r="E40" s="3"/>
      <c r="F40" s="3"/>
      <c r="G40" s="3"/>
      <c r="H40" s="3"/>
      <c r="I40" s="6"/>
      <c r="J40" s="14">
        <v>30</v>
      </c>
      <c r="K40" s="15"/>
      <c r="L40" s="8"/>
      <c r="M40" s="14">
        <v>30</v>
      </c>
      <c r="N40" s="15"/>
      <c r="O40" s="9"/>
      <c r="P40" s="3"/>
      <c r="Q40" s="3"/>
    </row>
    <row r="41" spans="1:17" ht="15.75" customHeight="1" x14ac:dyDescent="0.15">
      <c r="A41" s="3"/>
      <c r="B41" s="3"/>
      <c r="C41" s="3"/>
      <c r="D41" s="3"/>
      <c r="E41" s="3"/>
      <c r="F41" s="3"/>
      <c r="G41" s="3"/>
      <c r="H41" s="3"/>
      <c r="I41" s="6"/>
      <c r="J41" s="14">
        <v>31</v>
      </c>
      <c r="K41" s="15"/>
      <c r="L41" s="8"/>
      <c r="M41" s="14">
        <v>31</v>
      </c>
      <c r="N41" s="15"/>
      <c r="O41" s="9"/>
      <c r="P41" s="3"/>
      <c r="Q41" s="3"/>
    </row>
    <row r="42" spans="1:17" ht="15.75" customHeight="1" x14ac:dyDescent="0.15">
      <c r="A42" s="3"/>
      <c r="B42" s="3"/>
      <c r="C42" s="3"/>
      <c r="D42" s="3"/>
      <c r="E42" s="3"/>
      <c r="F42" s="3"/>
      <c r="G42" s="3"/>
      <c r="H42" s="3"/>
      <c r="I42" s="6"/>
      <c r="J42" s="14">
        <v>32</v>
      </c>
      <c r="K42" s="15"/>
      <c r="L42" s="8"/>
      <c r="M42" s="14">
        <v>32</v>
      </c>
      <c r="N42" s="15"/>
      <c r="O42" s="9"/>
      <c r="P42" s="3"/>
      <c r="Q42" s="3"/>
    </row>
    <row r="43" spans="1:17" ht="15.75" customHeight="1" x14ac:dyDescent="0.15">
      <c r="A43" s="3"/>
      <c r="B43" s="3"/>
      <c r="C43" s="3"/>
      <c r="D43" s="3"/>
      <c r="E43" s="3"/>
      <c r="F43" s="3"/>
      <c r="G43" s="3"/>
      <c r="H43" s="3"/>
      <c r="I43" s="6"/>
      <c r="J43" s="14">
        <v>33</v>
      </c>
      <c r="K43" s="15"/>
      <c r="L43" s="8"/>
      <c r="M43" s="14">
        <v>33</v>
      </c>
      <c r="N43" s="15"/>
      <c r="O43" s="9"/>
      <c r="P43" s="3"/>
      <c r="Q43" s="3"/>
    </row>
    <row r="44" spans="1:17" ht="15.75" customHeight="1" x14ac:dyDescent="0.15">
      <c r="A44" s="3"/>
      <c r="B44" s="3"/>
      <c r="C44" s="3"/>
      <c r="D44" s="3"/>
      <c r="E44" s="3"/>
      <c r="F44" s="3"/>
      <c r="G44" s="3"/>
      <c r="H44" s="3"/>
      <c r="I44" s="6"/>
      <c r="J44" s="14">
        <v>34</v>
      </c>
      <c r="K44" s="15"/>
      <c r="L44" s="8"/>
      <c r="M44" s="14">
        <v>34</v>
      </c>
      <c r="N44" s="15"/>
      <c r="O44" s="9"/>
      <c r="P44" s="3"/>
      <c r="Q44" s="3"/>
    </row>
    <row r="45" spans="1:17" ht="15.75" customHeight="1" x14ac:dyDescent="0.15">
      <c r="A45" s="3"/>
      <c r="B45" s="3"/>
      <c r="C45" s="3"/>
      <c r="D45" s="3"/>
      <c r="E45" s="3"/>
      <c r="F45" s="3"/>
      <c r="G45" s="3"/>
      <c r="H45" s="3"/>
      <c r="I45" s="6"/>
      <c r="J45" s="14">
        <v>35</v>
      </c>
      <c r="K45" s="15"/>
      <c r="L45" s="8"/>
      <c r="M45" s="14">
        <v>35</v>
      </c>
      <c r="N45" s="15"/>
      <c r="O45" s="9"/>
      <c r="P45" s="3"/>
      <c r="Q45" s="3"/>
    </row>
    <row r="46" spans="1:17" ht="15.75" customHeight="1" x14ac:dyDescent="0.15">
      <c r="A46" s="3"/>
      <c r="B46" s="3"/>
      <c r="C46" s="3"/>
      <c r="D46" s="3"/>
      <c r="E46" s="3"/>
      <c r="F46" s="3"/>
      <c r="G46" s="3"/>
      <c r="H46" s="3"/>
      <c r="I46" s="6"/>
      <c r="J46" s="14">
        <v>36</v>
      </c>
      <c r="K46" s="15"/>
      <c r="L46" s="8"/>
      <c r="M46" s="14">
        <v>36</v>
      </c>
      <c r="N46" s="15"/>
      <c r="O46" s="9"/>
      <c r="P46" s="3"/>
      <c r="Q46" s="3"/>
    </row>
    <row r="47" spans="1:17" ht="15.75" customHeight="1" x14ac:dyDescent="0.15">
      <c r="A47" s="3"/>
      <c r="B47" s="3"/>
      <c r="C47" s="3"/>
      <c r="D47" s="3"/>
      <c r="E47" s="3"/>
      <c r="F47" s="3"/>
      <c r="G47" s="3"/>
      <c r="H47" s="3"/>
      <c r="I47" s="6"/>
      <c r="J47" s="14">
        <v>37</v>
      </c>
      <c r="K47" s="15"/>
      <c r="L47" s="8"/>
      <c r="M47" s="14">
        <v>37</v>
      </c>
      <c r="N47" s="15"/>
      <c r="O47" s="9"/>
      <c r="P47" s="3"/>
      <c r="Q47" s="3"/>
    </row>
    <row r="48" spans="1:17" ht="15.75" customHeight="1" x14ac:dyDescent="0.15">
      <c r="A48" s="3"/>
      <c r="B48" s="3"/>
      <c r="C48" s="3"/>
      <c r="D48" s="3"/>
      <c r="E48" s="3"/>
      <c r="F48" s="3"/>
      <c r="G48" s="3"/>
      <c r="H48" s="3"/>
      <c r="I48" s="6"/>
      <c r="J48" s="14">
        <v>38</v>
      </c>
      <c r="K48" s="15"/>
      <c r="L48" s="8"/>
      <c r="M48" s="14">
        <v>38</v>
      </c>
      <c r="N48" s="15"/>
      <c r="O48" s="9"/>
      <c r="P48" s="3"/>
      <c r="Q48" s="3"/>
    </row>
    <row r="49" spans="1:17" ht="15.75" customHeight="1" x14ac:dyDescent="0.15">
      <c r="A49" s="3"/>
      <c r="B49" s="3"/>
      <c r="C49" s="3"/>
      <c r="D49" s="3"/>
      <c r="E49" s="3"/>
      <c r="F49" s="3"/>
      <c r="G49" s="3"/>
      <c r="H49" s="3"/>
      <c r="I49" s="6"/>
      <c r="J49" s="14">
        <v>39</v>
      </c>
      <c r="K49" s="15"/>
      <c r="L49" s="8"/>
      <c r="M49" s="14">
        <v>39</v>
      </c>
      <c r="N49" s="15"/>
      <c r="O49" s="9"/>
      <c r="P49" s="3"/>
      <c r="Q49" s="3"/>
    </row>
    <row r="50" spans="1:17" ht="15.75" customHeight="1" x14ac:dyDescent="0.15">
      <c r="A50" s="3"/>
      <c r="B50" s="3"/>
      <c r="C50" s="3"/>
      <c r="D50" s="3"/>
      <c r="E50" s="3"/>
      <c r="F50" s="3"/>
      <c r="G50" s="3"/>
      <c r="H50" s="3"/>
      <c r="I50" s="6"/>
      <c r="J50" s="14">
        <v>40</v>
      </c>
      <c r="K50" s="15"/>
      <c r="L50" s="8"/>
      <c r="M50" s="14">
        <v>40</v>
      </c>
      <c r="N50" s="15"/>
      <c r="O50" s="9"/>
      <c r="P50" s="3"/>
      <c r="Q50" s="3"/>
    </row>
    <row r="51" spans="1:17" ht="15.75" customHeight="1" x14ac:dyDescent="0.15">
      <c r="A51" s="3"/>
      <c r="B51" s="3"/>
      <c r="C51" s="3"/>
      <c r="D51" s="3"/>
      <c r="E51" s="3"/>
      <c r="F51" s="3"/>
      <c r="G51" s="3"/>
      <c r="H51" s="3"/>
      <c r="I51" s="6"/>
      <c r="J51" s="14">
        <v>41</v>
      </c>
      <c r="K51" s="15"/>
      <c r="L51" s="8"/>
      <c r="M51" s="14">
        <v>41</v>
      </c>
      <c r="N51" s="15"/>
      <c r="O51" s="9"/>
      <c r="P51" s="3"/>
      <c r="Q51" s="3"/>
    </row>
    <row r="52" spans="1:17" ht="15.75" customHeight="1" x14ac:dyDescent="0.15">
      <c r="A52" s="3"/>
      <c r="B52" s="3"/>
      <c r="C52" s="3"/>
      <c r="D52" s="3"/>
      <c r="E52" s="3"/>
      <c r="F52" s="3"/>
      <c r="G52" s="3"/>
      <c r="H52" s="3"/>
      <c r="I52" s="6"/>
      <c r="J52" s="14">
        <v>42</v>
      </c>
      <c r="K52" s="15"/>
      <c r="L52" s="8"/>
      <c r="M52" s="14">
        <v>42</v>
      </c>
      <c r="N52" s="15"/>
      <c r="O52" s="9"/>
      <c r="P52" s="3"/>
      <c r="Q52" s="3"/>
    </row>
    <row r="53" spans="1:17" ht="15.75" customHeight="1" x14ac:dyDescent="0.15">
      <c r="A53" s="3"/>
      <c r="B53" s="3"/>
      <c r="C53" s="3"/>
      <c r="D53" s="3"/>
      <c r="E53" s="3"/>
      <c r="F53" s="3"/>
      <c r="G53" s="3"/>
      <c r="H53" s="3"/>
      <c r="I53" s="6"/>
      <c r="J53" s="14">
        <v>43</v>
      </c>
      <c r="K53" s="15"/>
      <c r="L53" s="8"/>
      <c r="M53" s="14">
        <v>43</v>
      </c>
      <c r="N53" s="15"/>
      <c r="O53" s="9"/>
      <c r="P53" s="3"/>
      <c r="Q53" s="3"/>
    </row>
    <row r="54" spans="1:17" ht="15.75" customHeight="1" x14ac:dyDescent="0.15">
      <c r="A54" s="3"/>
      <c r="B54" s="3"/>
      <c r="C54" s="3"/>
      <c r="D54" s="3"/>
      <c r="E54" s="3"/>
      <c r="F54" s="3"/>
      <c r="G54" s="3"/>
      <c r="H54" s="3"/>
      <c r="I54" s="6"/>
      <c r="J54" s="14">
        <v>44</v>
      </c>
      <c r="K54" s="15"/>
      <c r="L54" s="8"/>
      <c r="M54" s="14">
        <v>44</v>
      </c>
      <c r="N54" s="15"/>
      <c r="O54" s="9"/>
      <c r="P54" s="3"/>
      <c r="Q54" s="3"/>
    </row>
    <row r="55" spans="1:17" ht="15.75" customHeight="1" x14ac:dyDescent="0.15">
      <c r="A55" s="3"/>
      <c r="B55" s="3"/>
      <c r="C55" s="3"/>
      <c r="D55" s="3"/>
      <c r="E55" s="3"/>
      <c r="F55" s="3"/>
      <c r="G55" s="3"/>
      <c r="H55" s="3"/>
      <c r="I55" s="6"/>
      <c r="J55" s="14">
        <v>45</v>
      </c>
      <c r="K55" s="15"/>
      <c r="L55" s="8"/>
      <c r="M55" s="14">
        <v>45</v>
      </c>
      <c r="N55" s="15"/>
      <c r="O55" s="9"/>
      <c r="P55" s="3"/>
      <c r="Q55" s="3"/>
    </row>
    <row r="56" spans="1:17" ht="15.75" customHeight="1" x14ac:dyDescent="0.15">
      <c r="A56" s="3"/>
      <c r="B56" s="3"/>
      <c r="C56" s="3"/>
      <c r="D56" s="3"/>
      <c r="E56" s="3"/>
      <c r="F56" s="3"/>
      <c r="G56" s="3"/>
      <c r="H56" s="3"/>
      <c r="I56" s="6"/>
      <c r="J56" s="14">
        <v>46</v>
      </c>
      <c r="K56" s="15"/>
      <c r="L56" s="8"/>
      <c r="M56" s="14">
        <v>46</v>
      </c>
      <c r="N56" s="15"/>
      <c r="O56" s="9"/>
      <c r="P56" s="3"/>
      <c r="Q56" s="3"/>
    </row>
    <row r="57" spans="1:17" ht="15.75" customHeight="1" x14ac:dyDescent="0.15">
      <c r="A57" s="3"/>
      <c r="B57" s="3"/>
      <c r="C57" s="3"/>
      <c r="D57" s="3"/>
      <c r="E57" s="3"/>
      <c r="F57" s="3"/>
      <c r="G57" s="3"/>
      <c r="H57" s="3"/>
      <c r="I57" s="6"/>
      <c r="J57" s="14">
        <v>47</v>
      </c>
      <c r="K57" s="15"/>
      <c r="L57" s="8"/>
      <c r="M57" s="14">
        <v>47</v>
      </c>
      <c r="N57" s="15"/>
      <c r="O57" s="9"/>
      <c r="P57" s="3"/>
      <c r="Q57" s="3"/>
    </row>
    <row r="58" spans="1:17" ht="15.75" customHeight="1" x14ac:dyDescent="0.15">
      <c r="A58" s="3"/>
      <c r="B58" s="3"/>
      <c r="C58" s="3"/>
      <c r="D58" s="3"/>
      <c r="E58" s="3"/>
      <c r="F58" s="3"/>
      <c r="G58" s="3"/>
      <c r="H58" s="3"/>
      <c r="I58" s="6"/>
      <c r="J58" s="14">
        <v>48</v>
      </c>
      <c r="K58" s="15"/>
      <c r="L58" s="8"/>
      <c r="M58" s="14">
        <v>48</v>
      </c>
      <c r="N58" s="15"/>
      <c r="O58" s="9"/>
      <c r="P58" s="3"/>
      <c r="Q58" s="3"/>
    </row>
    <row r="59" spans="1:17" ht="15.75" customHeight="1" x14ac:dyDescent="0.15">
      <c r="A59" s="3"/>
      <c r="B59" s="3"/>
      <c r="C59" s="3"/>
      <c r="D59" s="3"/>
      <c r="E59" s="3"/>
      <c r="F59" s="3"/>
      <c r="G59" s="3"/>
      <c r="H59" s="3"/>
      <c r="I59" s="6"/>
      <c r="J59" s="14">
        <v>49</v>
      </c>
      <c r="K59" s="15"/>
      <c r="L59" s="8"/>
      <c r="M59" s="14">
        <v>49</v>
      </c>
      <c r="N59" s="15"/>
      <c r="O59" s="9"/>
      <c r="P59" s="3"/>
      <c r="Q59" s="3"/>
    </row>
    <row r="60" spans="1:17" ht="15.75" customHeight="1" x14ac:dyDescent="0.15">
      <c r="A60" s="3"/>
      <c r="B60" s="3"/>
      <c r="C60" s="3"/>
      <c r="D60" s="3"/>
      <c r="E60" s="3"/>
      <c r="F60" s="3"/>
      <c r="G60" s="3"/>
      <c r="H60" s="3"/>
      <c r="I60" s="85"/>
      <c r="J60" s="14">
        <v>50</v>
      </c>
      <c r="K60" s="15"/>
      <c r="L60" s="8"/>
      <c r="M60" s="14">
        <v>50</v>
      </c>
      <c r="N60" s="15"/>
      <c r="O60" s="9"/>
      <c r="P60" s="3"/>
      <c r="Q60" s="3"/>
    </row>
    <row r="61" spans="1:17" ht="15.75" customHeight="1" x14ac:dyDescent="0.15">
      <c r="A61" s="3"/>
      <c r="B61" s="3"/>
      <c r="C61" s="3"/>
      <c r="D61" s="3"/>
      <c r="E61" s="3"/>
      <c r="F61" s="3"/>
      <c r="G61" s="3"/>
      <c r="H61" s="3"/>
      <c r="I61" s="23"/>
      <c r="J61" s="86"/>
      <c r="K61" s="24"/>
      <c r="L61" s="24"/>
      <c r="M61" s="24"/>
      <c r="N61" s="86"/>
      <c r="O61" s="25"/>
      <c r="P61" s="3"/>
      <c r="Q61" s="3"/>
    </row>
    <row r="62" spans="1:17" ht="15.75" customHeight="1" x14ac:dyDescent="0.15">
      <c r="A62" s="3"/>
      <c r="B62" s="3"/>
      <c r="C62" s="3"/>
      <c r="D62" s="3"/>
      <c r="E62" s="3"/>
      <c r="F62" s="3"/>
      <c r="G62" s="3"/>
      <c r="H62" s="3"/>
      <c r="I62" s="3"/>
      <c r="J62" s="3"/>
      <c r="K62" s="3"/>
      <c r="L62" s="3"/>
      <c r="M62" s="3"/>
      <c r="N62" s="3"/>
      <c r="O62" s="88" t="s">
        <v>40</v>
      </c>
      <c r="P62" s="3"/>
      <c r="Q62" s="3"/>
    </row>
    <row r="63" spans="1:17" ht="15.75" customHeight="1" x14ac:dyDescent="0.15">
      <c r="A63" s="3"/>
      <c r="B63" s="3"/>
      <c r="C63" s="3"/>
      <c r="D63" s="3"/>
      <c r="E63" s="3"/>
      <c r="F63" s="3"/>
      <c r="G63" s="3"/>
      <c r="H63" s="3"/>
      <c r="I63" s="3"/>
      <c r="J63" s="3"/>
      <c r="K63" s="3"/>
      <c r="L63" s="3"/>
      <c r="M63" s="3"/>
      <c r="N63" s="3"/>
      <c r="O63" s="88"/>
      <c r="P63" s="3"/>
      <c r="Q63" s="3"/>
    </row>
    <row r="64" spans="1:17" ht="15.75" customHeight="1" x14ac:dyDescent="0.15">
      <c r="A64" s="3"/>
      <c r="B64" s="3"/>
      <c r="C64" s="3"/>
      <c r="D64" s="3"/>
      <c r="E64" s="3"/>
      <c r="F64" s="3"/>
      <c r="G64" s="3"/>
      <c r="H64" s="3"/>
      <c r="I64" s="3"/>
      <c r="J64" s="3"/>
      <c r="K64" s="3"/>
      <c r="L64" s="3"/>
      <c r="M64" s="3"/>
      <c r="N64" s="3"/>
      <c r="O64" s="88"/>
      <c r="P64" s="3"/>
      <c r="Q64" s="3"/>
    </row>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7">
    <mergeCell ref="A1:P5"/>
    <mergeCell ref="B7:G8"/>
    <mergeCell ref="I7:O8"/>
    <mergeCell ref="E10:F10"/>
    <mergeCell ref="J10:K10"/>
    <mergeCell ref="M10:N10"/>
    <mergeCell ref="E13:F13"/>
    <mergeCell ref="E26:F26"/>
    <mergeCell ref="C28:F31"/>
    <mergeCell ref="B36:G38"/>
    <mergeCell ref="E14:F14"/>
    <mergeCell ref="E15:F15"/>
    <mergeCell ref="E16:F16"/>
    <mergeCell ref="B20:G21"/>
    <mergeCell ref="E23:F23"/>
    <mergeCell ref="E24:F24"/>
    <mergeCell ref="E25:F25"/>
  </mergeCells>
  <dataValidations count="4">
    <dataValidation type="list" allowBlank="1" showInputMessage="1" showErrorMessage="1" prompt="Region - Select the region from the dropdown list." sqref="E10" xr:uid="{00000000-0002-0000-0000-000000000000}">
      <formula1>"Select Region,CAR,NCR,Region I,Region II,Region III,Region IV-A,MIMAROPA,Region V,Region VI,Region VII,Region VIII,NIR,Region IX,Region X,Region XI,Region XII,CARAGA,BARMM"</formula1>
    </dataValidation>
    <dataValidation type="list" allowBlank="1" showInputMessage="1" showErrorMessage="1" prompt="School Year - Select the school year from the dropdown list." sqref="E15" xr:uid="{00000000-0002-0000-0000-000001000000}">
      <formula1>"2026-2027,2027-2028,2028-2029,2029-2030"</formula1>
    </dataValidation>
    <dataValidation type="list" allowBlank="1" showInputMessage="1" showErrorMessage="1" prompt="Subject - Select the subject from the dropdown list." sqref="E24" xr:uid="{00000000-0002-0000-0000-000002000000}">
      <formula1>"Science,Mathematics,Filipino,English,Araling Panlipunan,Makabansa"</formula1>
    </dataValidation>
    <dataValidation type="list" allowBlank="1" showErrorMessage="1" sqref="E25" xr:uid="{00000000-0002-0000-0000-000003000000}">
      <formula1>"2,3,4,5,6,7,8,9,10"</formula1>
    </dataValidation>
  </dataValidations>
  <pageMargins left="0.7" right="0.7" top="0.75" bottom="0.75" header="0" footer="0"/>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8"/>
    <outlinePr summaryBelow="0" summaryRight="0"/>
    <pageSetUpPr fitToPage="1"/>
  </sheetPr>
  <dimension ref="A1:AF1000"/>
  <sheetViews>
    <sheetView showGridLines="0" workbookViewId="0">
      <pane ySplit="15" topLeftCell="A68" activePane="bottomLeft" state="frozen"/>
      <selection pane="bottomLeft" activeCell="P80" sqref="P80"/>
    </sheetView>
  </sheetViews>
  <sheetFormatPr baseColWidth="10" defaultColWidth="12.6640625" defaultRowHeight="15" customHeight="1" x14ac:dyDescent="0.15"/>
  <cols>
    <col min="1" max="2" width="3.83203125" customWidth="1"/>
    <col min="3" max="5" width="12.6640625" customWidth="1"/>
    <col min="6" max="10" width="3.83203125" customWidth="1"/>
    <col min="11" max="11" width="5.1640625" customWidth="1"/>
    <col min="12" max="12" width="5.6640625" customWidth="1"/>
    <col min="13" max="13" width="6.33203125" customWidth="1"/>
    <col min="14" max="16" width="3.83203125" customWidth="1"/>
    <col min="17" max="17" width="5.1640625" customWidth="1"/>
    <col min="18" max="18" width="5.6640625" customWidth="1"/>
    <col min="19" max="19" width="6.33203125" customWidth="1"/>
    <col min="20" max="22" width="5.6640625" customWidth="1"/>
    <col min="23" max="25" width="8" customWidth="1"/>
    <col min="26" max="27" width="5.6640625" customWidth="1"/>
    <col min="28" max="28" width="7.33203125" customWidth="1"/>
    <col min="29" max="29" width="10.1640625" customWidth="1"/>
    <col min="30" max="30" width="14.5" customWidth="1"/>
    <col min="31" max="31" width="12.6640625" customWidth="1"/>
    <col min="32" max="32" width="3.83203125" customWidth="1"/>
  </cols>
  <sheetData>
    <row r="1" spans="1:32" ht="15.7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5"/>
    </row>
    <row r="2" spans="1:32" ht="15.75" customHeight="1" x14ac:dyDescent="0.15">
      <c r="A2" s="2"/>
      <c r="B2" s="227" t="s">
        <v>1</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2"/>
      <c r="AF2" s="5"/>
    </row>
    <row r="3" spans="1:32" ht="15.75" customHeight="1" x14ac:dyDescent="0.15">
      <c r="A3" s="2"/>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2"/>
      <c r="AF3" s="5"/>
    </row>
    <row r="4" spans="1:32" ht="15.75" customHeight="1"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5"/>
    </row>
    <row r="5" spans="1:32" ht="15.75" customHeight="1" x14ac:dyDescent="0.2">
      <c r="A5" s="3"/>
      <c r="B5" s="3"/>
      <c r="C5" s="3"/>
      <c r="D5" s="3"/>
      <c r="E5" s="7" t="s">
        <v>4</v>
      </c>
      <c r="F5" s="228" t="str">
        <f>IF('INPUT DATA'!E10="","",'INPUT DATA'!E10)</f>
      </c>
      <c r="G5" s="196"/>
      <c r="H5" s="196"/>
      <c r="I5" s="196"/>
      <c r="J5" s="196"/>
      <c r="K5" s="196"/>
      <c r="L5" s="197"/>
      <c r="M5" s="3"/>
      <c r="N5" s="3"/>
      <c r="O5" s="3"/>
      <c r="P5" s="3"/>
      <c r="Q5" s="7" t="s">
        <v>8</v>
      </c>
      <c r="R5" s="228" t="str">
        <f>IF('INPUT DATA'!E11="","",'INPUT DATA'!E11)</f>
      </c>
      <c r="S5" s="196"/>
      <c r="T5" s="196"/>
      <c r="U5" s="196"/>
      <c r="V5" s="197"/>
      <c r="W5" s="3"/>
      <c r="X5" s="3"/>
      <c r="Y5" s="7" t="s">
        <v>9</v>
      </c>
      <c r="Z5" s="228">
        <f>IF('INPUT DATA'!E13="","",'INPUT DATA'!E13)</f>
      </c>
      <c r="AA5" s="196"/>
      <c r="AB5" s="197"/>
      <c r="AC5" s="3"/>
      <c r="AD5" s="3"/>
      <c r="AE5" s="3"/>
      <c r="AF5" s="4"/>
    </row>
    <row r="6" spans="1:32" ht="6" customHeight="1" x14ac:dyDescent="0.2">
      <c r="A6" s="3"/>
      <c r="B6" s="3"/>
      <c r="C6" s="3"/>
      <c r="D6" s="3"/>
      <c r="E6" s="7"/>
      <c r="F6" s="16"/>
      <c r="G6" s="18"/>
      <c r="H6" s="18"/>
      <c r="I6" s="18"/>
      <c r="J6" s="18"/>
      <c r="K6" s="18"/>
      <c r="L6" s="18"/>
      <c r="M6" s="3"/>
      <c r="N6" s="3"/>
      <c r="O6" s="3"/>
      <c r="P6" s="3"/>
      <c r="Q6" s="7"/>
      <c r="R6" s="16"/>
      <c r="S6" s="18"/>
      <c r="T6" s="18"/>
      <c r="U6" s="18"/>
      <c r="V6" s="18"/>
      <c r="W6" s="3"/>
      <c r="X6" s="3"/>
      <c r="Y6" s="7"/>
      <c r="Z6" s="16"/>
      <c r="AA6" s="18"/>
      <c r="AB6" s="18"/>
      <c r="AC6" s="3"/>
      <c r="AD6" s="3"/>
      <c r="AE6" s="3"/>
      <c r="AF6" s="4"/>
    </row>
    <row r="7" spans="1:32" ht="15.75" customHeight="1" x14ac:dyDescent="0.2">
      <c r="A7" s="3"/>
      <c r="B7" s="3"/>
      <c r="C7" s="3"/>
      <c r="D7" s="3"/>
      <c r="E7" s="7" t="s">
        <v>10</v>
      </c>
      <c r="F7" s="228" t="str">
        <f>IF('INPUT DATA'!E14="","",'INPUT DATA'!E14)</f>
      </c>
      <c r="G7" s="196"/>
      <c r="H7" s="196"/>
      <c r="I7" s="196"/>
      <c r="J7" s="196"/>
      <c r="K7" s="196"/>
      <c r="L7" s="196"/>
      <c r="M7" s="196"/>
      <c r="N7" s="196"/>
      <c r="O7" s="196"/>
      <c r="P7" s="196"/>
      <c r="Q7" s="196"/>
      <c r="R7" s="196"/>
      <c r="S7" s="196"/>
      <c r="T7" s="196"/>
      <c r="U7" s="196"/>
      <c r="V7" s="197"/>
      <c r="W7" s="3"/>
      <c r="X7" s="3"/>
      <c r="Y7" s="7" t="s">
        <v>11</v>
      </c>
      <c r="Z7" s="228" t="str">
        <f>IF('INPUT DATA'!E15="","",'INPUT DATA'!E15)</f>
      </c>
      <c r="AA7" s="196"/>
      <c r="AB7" s="197"/>
      <c r="AC7" s="3"/>
      <c r="AD7" s="3"/>
      <c r="AE7" s="3"/>
      <c r="AF7" s="4"/>
    </row>
    <row r="8" spans="1:32" ht="15.75" customHeight="1" x14ac:dyDescent="0.1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4"/>
    </row>
    <row r="9" spans="1:32" ht="15.75" customHeight="1" x14ac:dyDescent="0.2">
      <c r="A9" s="3"/>
      <c r="B9" s="229"/>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7"/>
      <c r="AE9" s="3"/>
      <c r="AF9" s="4"/>
    </row>
    <row r="10" spans="1:32" ht="15.75" customHeight="1" x14ac:dyDescent="0.15">
      <c r="A10" s="3"/>
      <c r="B10" s="213" t="s">
        <v>16</v>
      </c>
      <c r="C10" s="208"/>
      <c r="D10" s="208"/>
      <c r="E10" s="209"/>
      <c r="F10" s="219" t="s">
        <v>15</v>
      </c>
      <c r="G10" s="204"/>
      <c r="H10" s="204"/>
      <c r="I10" s="205"/>
      <c r="J10" s="220">
        <f>IF('INPUT DATA'!E25="","",'INPUT DATA'!E25)</f>
      </c>
      <c r="K10" s="221"/>
      <c r="L10" s="221"/>
      <c r="M10" s="222"/>
      <c r="N10" s="223" t="s">
        <v>17</v>
      </c>
      <c r="O10" s="208"/>
      <c r="P10" s="209"/>
      <c r="Q10" s="207" t="str">
        <f>IF('INPUT DATA'!E23="","",'INPUT DATA'!E23)</f>
      </c>
      <c r="R10" s="208"/>
      <c r="S10" s="208"/>
      <c r="T10" s="208"/>
      <c r="U10" s="208"/>
      <c r="V10" s="208"/>
      <c r="W10" s="208"/>
      <c r="X10" s="209"/>
      <c r="Y10" s="223" t="s">
        <v>18</v>
      </c>
      <c r="Z10" s="224"/>
      <c r="AA10" s="207" t="str">
        <f>IF('INPUT DATA'!E24="","",'INPUT DATA'!E24)</f>
      </c>
      <c r="AB10" s="208"/>
      <c r="AC10" s="208"/>
      <c r="AD10" s="209"/>
      <c r="AE10" s="3"/>
      <c r="AF10" s="4"/>
    </row>
    <row r="11" spans="1:32" ht="15.75" customHeight="1" x14ac:dyDescent="0.15">
      <c r="A11" s="3"/>
      <c r="B11" s="214"/>
      <c r="C11" s="194"/>
      <c r="D11" s="194"/>
      <c r="E11" s="215"/>
      <c r="F11" s="230" t="s">
        <v>19</v>
      </c>
      <c r="G11" s="196"/>
      <c r="H11" s="196"/>
      <c r="I11" s="197"/>
      <c r="J11" s="231" t="str">
        <f>IF('INPUT DATA'!E26="","",'INPUT DATA'!E26)</f>
      </c>
      <c r="K11" s="196"/>
      <c r="L11" s="196"/>
      <c r="M11" s="197"/>
      <c r="N11" s="203"/>
      <c r="O11" s="204"/>
      <c r="P11" s="205"/>
      <c r="Q11" s="203"/>
      <c r="R11" s="204"/>
      <c r="S11" s="204"/>
      <c r="T11" s="204"/>
      <c r="U11" s="204"/>
      <c r="V11" s="204"/>
      <c r="W11" s="204"/>
      <c r="X11" s="205"/>
      <c r="Y11" s="203"/>
      <c r="Z11" s="225"/>
      <c r="AA11" s="203"/>
      <c r="AB11" s="204"/>
      <c r="AC11" s="204"/>
      <c r="AD11" s="205"/>
      <c r="AE11" s="3"/>
      <c r="AF11" s="4"/>
    </row>
    <row r="12" spans="1:32" ht="15.75" customHeight="1" x14ac:dyDescent="0.15">
      <c r="A12" s="3"/>
      <c r="B12" s="214"/>
      <c r="C12" s="194"/>
      <c r="D12" s="194"/>
      <c r="E12" s="215"/>
      <c r="F12" s="200" t="s">
        <v>21</v>
      </c>
      <c r="G12" s="201"/>
      <c r="H12" s="201"/>
      <c r="I12" s="201"/>
      <c r="J12" s="201"/>
      <c r="K12" s="201"/>
      <c r="L12" s="201"/>
      <c r="M12" s="202"/>
      <c r="N12" s="206" t="s">
        <v>22</v>
      </c>
      <c r="O12" s="201"/>
      <c r="P12" s="201"/>
      <c r="Q12" s="201"/>
      <c r="R12" s="201"/>
      <c r="S12" s="202"/>
      <c r="T12" s="206" t="s">
        <v>23</v>
      </c>
      <c r="U12" s="201"/>
      <c r="V12" s="201"/>
      <c r="W12" s="201"/>
      <c r="X12" s="201"/>
      <c r="Y12" s="201"/>
      <c r="Z12" s="201"/>
      <c r="AA12" s="202"/>
      <c r="AB12" s="210" t="s">
        <v>24</v>
      </c>
      <c r="AC12" s="210" t="s">
        <v>26</v>
      </c>
      <c r="AD12" s="210" t="s">
        <v>27</v>
      </c>
      <c r="AE12" s="3"/>
      <c r="AF12" s="4"/>
    </row>
    <row r="13" spans="1:32" ht="15.75" customHeight="1" x14ac:dyDescent="0.15">
      <c r="A13" s="3"/>
      <c r="B13" s="214"/>
      <c r="C13" s="194"/>
      <c r="D13" s="194"/>
      <c r="E13" s="215"/>
      <c r="F13" s="203"/>
      <c r="G13" s="204"/>
      <c r="H13" s="204"/>
      <c r="I13" s="204"/>
      <c r="J13" s="204"/>
      <c r="K13" s="204"/>
      <c r="L13" s="204"/>
      <c r="M13" s="205"/>
      <c r="N13" s="203"/>
      <c r="O13" s="204"/>
      <c r="P13" s="204"/>
      <c r="Q13" s="204"/>
      <c r="R13" s="204"/>
      <c r="S13" s="205"/>
      <c r="T13" s="203"/>
      <c r="U13" s="204"/>
      <c r="V13" s="204"/>
      <c r="W13" s="204"/>
      <c r="X13" s="204"/>
      <c r="Y13" s="204"/>
      <c r="Z13" s="204"/>
      <c r="AA13" s="205"/>
      <c r="AB13" s="211"/>
      <c r="AC13" s="211"/>
      <c r="AD13" s="211"/>
      <c r="AE13" s="3"/>
      <c r="AF13" s="4"/>
    </row>
    <row r="14" spans="1:32" ht="15.75" customHeight="1" x14ac:dyDescent="0.15">
      <c r="A14" s="3"/>
      <c r="B14" s="216"/>
      <c r="C14" s="217"/>
      <c r="D14" s="217"/>
      <c r="E14" s="218"/>
      <c r="F14" s="28">
        <v>1</v>
      </c>
      <c r="G14" s="29">
        <v>2</v>
      </c>
      <c r="H14" s="29">
        <v>3</v>
      </c>
      <c r="I14" s="29">
        <v>4</v>
      </c>
      <c r="J14" s="30">
        <v>5</v>
      </c>
      <c r="K14" s="31" t="s">
        <v>28</v>
      </c>
      <c r="L14" s="31" t="s">
        <v>29</v>
      </c>
      <c r="M14" s="31" t="s">
        <v>30</v>
      </c>
      <c r="N14" s="28">
        <v>1</v>
      </c>
      <c r="O14" s="29">
        <v>2</v>
      </c>
      <c r="P14" s="30">
        <v>3</v>
      </c>
      <c r="Q14" s="31" t="s">
        <v>28</v>
      </c>
      <c r="R14" s="31" t="s">
        <v>29</v>
      </c>
      <c r="S14" s="31" t="s">
        <v>30</v>
      </c>
      <c r="T14" s="28" t="s">
        <v>31</v>
      </c>
      <c r="U14" s="29" t="s">
        <v>32</v>
      </c>
      <c r="V14" s="30" t="s">
        <v>33</v>
      </c>
      <c r="W14" s="32" t="s">
        <v>34</v>
      </c>
      <c r="X14" s="33" t="s">
        <v>35</v>
      </c>
      <c r="Y14" s="34" t="s">
        <v>36</v>
      </c>
      <c r="Z14" s="31" t="s">
        <v>29</v>
      </c>
      <c r="AA14" s="31" t="s">
        <v>30</v>
      </c>
      <c r="AB14" s="211"/>
      <c r="AC14" s="211"/>
      <c r="AD14" s="211"/>
      <c r="AE14" s="3"/>
      <c r="AF14" s="4"/>
    </row>
    <row r="15" spans="1:32" ht="15.75" customHeight="1" x14ac:dyDescent="0.15">
      <c r="A15" s="3"/>
      <c r="B15" s="226" t="s">
        <v>37</v>
      </c>
      <c r="C15" s="196"/>
      <c r="D15" s="196"/>
      <c r="E15" s="197"/>
      <c r="F15" s="37"/>
      <c r="G15" s="38"/>
      <c r="H15" s="38"/>
      <c r="I15" s="38"/>
      <c r="J15" s="39"/>
      <c r="K15" s="40">
        <f>IF(COUNT(F15:J15)=0,"",SUM(F15:J15))</f>
      </c>
      <c r="L15" s="41">
        <v>100</v>
      </c>
      <c r="M15" s="43">
        <v>0.2</v>
      </c>
      <c r="N15" s="37"/>
      <c r="O15" s="38"/>
      <c r="P15" s="39"/>
      <c r="Q15" s="40">
        <f>IF(COUNT(N15:P15)=0,"",SUM(N15:P15))</f>
      </c>
      <c r="R15" s="45">
        <v>100</v>
      </c>
      <c r="S15" s="46">
        <v>0.5</v>
      </c>
      <c r="T15" s="37"/>
      <c r="U15" s="38"/>
      <c r="V15" s="39"/>
      <c r="W15" s="47">
        <v>30</v>
      </c>
      <c r="X15" s="48">
        <v>30</v>
      </c>
      <c r="Y15" s="49">
        <v>40</v>
      </c>
      <c r="Z15" s="45">
        <v>100</v>
      </c>
      <c r="AA15" s="46">
        <v>0.3</v>
      </c>
      <c r="AB15" s="212"/>
      <c r="AC15" s="212"/>
      <c r="AD15" s="212"/>
      <c r="AE15" s="3"/>
      <c r="AF15" s="4"/>
    </row>
    <row r="16" spans="1:32" ht="15.75" customHeight="1" x14ac:dyDescent="0.15">
      <c r="A16" s="3"/>
      <c r="B16" s="195" t="s">
        <v>3</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7"/>
      <c r="AE16" s="3"/>
      <c r="AF16" s="4"/>
    </row>
    <row r="17" spans="1:32" ht="15.75" customHeight="1" x14ac:dyDescent="0.15">
      <c r="A17" s="3"/>
      <c r="B17" s="198" t="s">
        <v>6</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7"/>
      <c r="AE17" s="3"/>
      <c r="AF17" s="4"/>
    </row>
    <row r="18" spans="1:32" ht="15" customHeight="1" thickBot="1" x14ac:dyDescent="0.2">
      <c r="A18" s="3"/>
      <c r="B18" s="53">
        <v>1</v>
      </c>
      <c r="C18" s="199" t="str">
        <f>IF('INPUT DATA'!K11="","",'INPUT DATA'!K11)</f>
      </c>
      <c r="D18" s="185"/>
      <c r="E18" s="186"/>
      <c r="F18" s="54"/>
      <c r="G18" s="55"/>
      <c r="H18" s="55"/>
      <c r="I18" s="55"/>
      <c r="J18" s="56"/>
      <c r="K18" s="57">
        <f t="shared" ref="K18:K67" si="0">IF(COUNT($F18:$J18)=0,"",SUM($F18:$J18))</f>
      </c>
      <c r="L18" s="59">
        <f t="shared" ref="L18:L67" si="1">IF(COUNT(F18:J18)=0,"",IFERROR(K18/$K$15*$L$15,""))</f>
      </c>
      <c r="M18" s="83">
        <f t="shared" ref="M18:M67" si="2">IF(L18="","",L18*$M$15)</f>
      </c>
      <c r="N18" s="54"/>
      <c r="O18" s="55"/>
      <c r="P18" s="56"/>
      <c r="Q18" s="57">
        <f t="shared" ref="Q18:Q67" si="3">IF(COUNT(N18:P18)=0,"",SUM(N18:P18))</f>
      </c>
      <c r="R18" s="59">
        <f t="shared" ref="R18:R67" si="4">IF(COUNT(N18:P18)=0,"",IFERROR(Q18/$Q$15*$R$15,""))</f>
      </c>
      <c r="S18" s="83">
        <f t="shared" ref="S18:S67" si="5">IF(R18="","",R18*$S$15)</f>
      </c>
      <c r="T18" s="54"/>
      <c r="U18" s="55"/>
      <c r="V18" s="56"/>
      <c r="W18" s="61">
        <f t="shared" ref="W18:W67" si="6">IF(T18="","",IFERROR(T18/$T$15*$W$15,""))</f>
      </c>
      <c r="X18" s="62">
        <f t="shared" ref="X18:X67" si="7">IF(U18="","",IFERROR(U18/$U$15*$X$15,""))</f>
      </c>
      <c r="Y18" s="63">
        <f t="shared" ref="Y18:Y67" si="8">IF(V18="","",IFERROR(V18/$V$15*$Y$15,""))</f>
      </c>
      <c r="Z18" s="64">
        <f t="shared" ref="Z18:Z67" si="9">IF(COUNT(T18:V18)=0,"",SUM(W18:Y18))</f>
      </c>
      <c r="AA18" s="84">
        <f t="shared" ref="AA18:AA67" si="10">IF(Z18="","",Z18*$AA$15)</f>
      </c>
      <c r="AB18" s="87">
        <f t="shared" ref="AB18:AB67" si="11">IF(COUNT(F18:J18,N18:P18,T18:V18)=0,"",SUM(M18,S18,AA18))</f>
      </c>
      <c r="AC18" s="67">
        <f t="array" ref="AC18">IF(AB18="","",IFERROR(INDEX(HELPER!$D$8:$D$48,IF(AB18&gt;=HELPER!$B$8,1,MATCH(AB18,HELPER!$B$8:$B$48,-1)+1)),""))</f>
      </c>
      <c r="AD18" s="68" t="str">
        <f>IF(AC18="","",IFERROR(VLOOKUP(AC18,HELPER!$F$8:$G$48,2,FALSE),""))</f>
      </c>
      <c r="AE18" s="3"/>
      <c r="AF18" s="4"/>
    </row>
    <row r="19" spans="1:32" ht="15" customHeight="1" thickBot="1" x14ac:dyDescent="0.2">
      <c r="A19" s="3"/>
      <c r="B19" s="69">
        <v>2</v>
      </c>
      <c r="C19" s="199" t="str">
        <f>IF('INPUT DATA'!K12="","",'INPUT DATA'!K12)</f>
      </c>
      <c r="D19" s="185"/>
      <c r="E19" s="186"/>
      <c r="F19" s="54"/>
      <c r="G19" s="71"/>
      <c r="H19" s="71"/>
      <c r="I19" s="71"/>
      <c r="J19" s="72"/>
      <c r="K19" s="73">
        <f t="shared" si="0"/>
      </c>
      <c r="L19" s="74">
        <f t="shared" si="1"/>
      </c>
      <c r="M19" s="89">
        <f t="shared" si="2"/>
      </c>
      <c r="N19" s="70"/>
      <c r="O19" s="71"/>
      <c r="P19" s="72"/>
      <c r="Q19" s="73">
        <f t="shared" si="3"/>
      </c>
      <c r="R19" s="74">
        <f t="shared" si="4"/>
      </c>
      <c r="S19" s="89">
        <f t="shared" si="5"/>
      </c>
      <c r="T19" s="70"/>
      <c r="U19" s="71"/>
      <c r="V19" s="72"/>
      <c r="W19" s="77">
        <f t="shared" si="6"/>
      </c>
      <c r="X19" s="74">
        <f t="shared" si="7"/>
      </c>
      <c r="Y19" s="75">
        <f t="shared" si="8"/>
      </c>
      <c r="Z19" s="78">
        <f t="shared" si="9"/>
      </c>
      <c r="AA19" s="90">
        <f t="shared" si="10"/>
      </c>
      <c r="AB19" s="91">
        <f t="shared" si="11"/>
      </c>
      <c r="AC19" s="81">
        <f t="array" ref="AC19">IF(AB19="","",IFERROR(INDEX(HELPER!$D$8:$D$48,IF(AB19&gt;=HELPER!$B$8,1,MATCH(AB19,HELPER!$B$8:$B$48,-1)+1)),""))</f>
      </c>
      <c r="AD19" s="82" t="str">
        <f>IF(AC19="","",IFERROR(VLOOKUP(AC19,HELPER!$F$8:$G$48,2,FALSE),""))</f>
      </c>
      <c r="AE19" s="3"/>
      <c r="AF19" s="4"/>
    </row>
    <row r="20" spans="1:32" ht="15" customHeight="1" thickBot="1" x14ac:dyDescent="0.2">
      <c r="A20" s="3"/>
      <c r="B20" s="69">
        <v>3</v>
      </c>
      <c r="C20" s="199" t="str">
        <f>IF('INPUT DATA'!K13="","",'INPUT DATA'!K13)</f>
      </c>
      <c r="D20" s="185"/>
      <c r="E20" s="186"/>
      <c r="F20" s="54"/>
      <c r="G20" s="71"/>
      <c r="H20" s="71"/>
      <c r="I20" s="71"/>
      <c r="J20" s="72"/>
      <c r="K20" s="73">
        <f t="shared" si="0"/>
      </c>
      <c r="L20" s="74">
        <f t="shared" si="1"/>
      </c>
      <c r="M20" s="89">
        <f t="shared" si="2"/>
      </c>
      <c r="N20" s="70"/>
      <c r="O20" s="71"/>
      <c r="P20" s="72"/>
      <c r="Q20" s="73">
        <f t="shared" si="3"/>
      </c>
      <c r="R20" s="74">
        <f t="shared" si="4"/>
      </c>
      <c r="S20" s="89">
        <f t="shared" si="5"/>
      </c>
      <c r="T20" s="70"/>
      <c r="U20" s="71"/>
      <c r="V20" s="72"/>
      <c r="W20" s="77">
        <f t="shared" si="6"/>
      </c>
      <c r="X20" s="74">
        <f t="shared" si="7"/>
      </c>
      <c r="Y20" s="75">
        <f t="shared" si="8"/>
      </c>
      <c r="Z20" s="78">
        <f t="shared" si="9"/>
      </c>
      <c r="AA20" s="90">
        <f t="shared" si="10"/>
      </c>
      <c r="AB20" s="91">
        <f t="shared" si="11"/>
      </c>
      <c r="AC20" s="81">
        <f t="array" ref="AC20">IF(AB20="","",IFERROR(INDEX(HELPER!$D$8:$D$48,IF(AB20&gt;=HELPER!$B$8,1,MATCH(AB20,HELPER!$B$8:$B$48,-1)+1)),""))</f>
      </c>
      <c r="AD20" s="82" t="str">
        <f>IF(AC20="","",IFERROR(VLOOKUP(AC20,HELPER!$F$8:$G$48,2,FALSE),""))</f>
      </c>
      <c r="AE20" s="3"/>
      <c r="AF20" s="4"/>
    </row>
    <row r="21" spans="1:32" ht="15" customHeight="1" thickBot="1" x14ac:dyDescent="0.2">
      <c r="A21" s="3"/>
      <c r="B21" s="69">
        <v>4</v>
      </c>
      <c r="C21" s="199" t="str">
        <f>IF('INPUT DATA'!K14="","",'INPUT DATA'!K14)</f>
      </c>
      <c r="D21" s="185"/>
      <c r="E21" s="186"/>
      <c r="F21" s="54"/>
      <c r="G21" s="71"/>
      <c r="H21" s="71"/>
      <c r="I21" s="71"/>
      <c r="J21" s="72"/>
      <c r="K21" s="73">
        <f t="shared" si="0"/>
      </c>
      <c r="L21" s="74">
        <f t="shared" si="1"/>
      </c>
      <c r="M21" s="89">
        <f t="shared" si="2"/>
      </c>
      <c r="N21" s="70"/>
      <c r="O21" s="71"/>
      <c r="P21" s="72"/>
      <c r="Q21" s="73">
        <f t="shared" si="3"/>
      </c>
      <c r="R21" s="74">
        <f t="shared" si="4"/>
      </c>
      <c r="S21" s="89">
        <f t="shared" si="5"/>
      </c>
      <c r="T21" s="70"/>
      <c r="U21" s="71"/>
      <c r="V21" s="72"/>
      <c r="W21" s="77">
        <f t="shared" si="6"/>
      </c>
      <c r="X21" s="74">
        <f t="shared" si="7"/>
      </c>
      <c r="Y21" s="75">
        <f t="shared" si="8"/>
      </c>
      <c r="Z21" s="78">
        <f t="shared" si="9"/>
      </c>
      <c r="AA21" s="90">
        <f t="shared" si="10"/>
      </c>
      <c r="AB21" s="91">
        <f t="shared" si="11"/>
      </c>
      <c r="AC21" s="81">
        <f t="array" ref="AC21">IF(AB21="","",IFERROR(INDEX(HELPER!$D$8:$D$48,IF(AB21&gt;=HELPER!$B$8,1,MATCH(AB21,HELPER!$B$8:$B$48,-1)+1)),""))</f>
      </c>
      <c r="AD21" s="82" t="str">
        <f>IF(AC21="","",IFERROR(VLOOKUP(AC21,HELPER!$F$8:$G$48,2,FALSE),""))</f>
      </c>
      <c r="AE21" s="3"/>
      <c r="AF21" s="4"/>
    </row>
    <row r="22" spans="1:32" ht="15" customHeight="1" thickBot="1" x14ac:dyDescent="0.2">
      <c r="A22" s="3"/>
      <c r="B22" s="69">
        <v>5</v>
      </c>
      <c r="C22" s="184" t="str">
        <f>IF('INPUT DATA'!K15="","",'INPUT DATA'!K15)</f>
      </c>
      <c r="D22" s="185"/>
      <c r="E22" s="186"/>
      <c r="F22" s="54"/>
      <c r="G22" s="71"/>
      <c r="H22" s="71"/>
      <c r="I22" s="71"/>
      <c r="J22" s="72"/>
      <c r="K22" s="73">
        <f t="shared" si="0"/>
      </c>
      <c r="L22" s="74">
        <f t="shared" si="1"/>
      </c>
      <c r="M22" s="89">
        <f t="shared" si="2"/>
      </c>
      <c r="N22" s="70"/>
      <c r="O22" s="71"/>
      <c r="P22" s="72"/>
      <c r="Q22" s="73">
        <f t="shared" si="3"/>
      </c>
      <c r="R22" s="74">
        <f t="shared" si="4"/>
      </c>
      <c r="S22" s="89">
        <f t="shared" si="5"/>
      </c>
      <c r="T22" s="70"/>
      <c r="U22" s="71"/>
      <c r="V22" s="72"/>
      <c r="W22" s="77">
        <f t="shared" si="6"/>
      </c>
      <c r="X22" s="74">
        <f t="shared" si="7"/>
      </c>
      <c r="Y22" s="75">
        <f t="shared" si="8"/>
      </c>
      <c r="Z22" s="78">
        <f t="shared" si="9"/>
      </c>
      <c r="AA22" s="90">
        <f t="shared" si="10"/>
      </c>
      <c r="AB22" s="91">
        <f t="shared" si="11"/>
      </c>
      <c r="AC22" s="81">
        <f t="array" ref="AC22">IF(AB22="","",IFERROR(INDEX(HELPER!$D$8:$D$48,IF(AB22&gt;=HELPER!$B$8,1,MATCH(AB22,HELPER!$B$8:$B$48,-1)+1)),""))</f>
      </c>
      <c r="AD22" s="82" t="str">
        <f>IF(AC22="","",IFERROR(VLOOKUP(AC22,HELPER!$F$8:$G$48,2,FALSE),""))</f>
      </c>
      <c r="AE22" s="3"/>
      <c r="AF22" s="4"/>
    </row>
    <row r="23" spans="1:32" ht="15" customHeight="1" thickBot="1" x14ac:dyDescent="0.2">
      <c r="A23" s="3"/>
      <c r="B23" s="69">
        <v>6</v>
      </c>
      <c r="C23" s="184" t="str">
        <f>IF('INPUT DATA'!K16="","",'INPUT DATA'!K16)</f>
      </c>
      <c r="D23" s="185"/>
      <c r="E23" s="186"/>
      <c r="F23" s="54"/>
      <c r="G23" s="71"/>
      <c r="H23" s="71"/>
      <c r="I23" s="71"/>
      <c r="J23" s="72"/>
      <c r="K23" s="73">
        <f t="shared" si="0"/>
      </c>
      <c r="L23" s="74">
        <f t="shared" si="1"/>
      </c>
      <c r="M23" s="89">
        <f t="shared" si="2"/>
      </c>
      <c r="N23" s="70"/>
      <c r="O23" s="71"/>
      <c r="P23" s="72"/>
      <c r="Q23" s="73">
        <f t="shared" si="3"/>
      </c>
      <c r="R23" s="74">
        <f t="shared" si="4"/>
      </c>
      <c r="S23" s="89">
        <f t="shared" si="5"/>
      </c>
      <c r="T23" s="70"/>
      <c r="U23" s="71"/>
      <c r="V23" s="72"/>
      <c r="W23" s="77">
        <f t="shared" si="6"/>
      </c>
      <c r="X23" s="74">
        <f t="shared" si="7"/>
      </c>
      <c r="Y23" s="75">
        <f t="shared" si="8"/>
      </c>
      <c r="Z23" s="78">
        <f t="shared" si="9"/>
      </c>
      <c r="AA23" s="90">
        <f t="shared" si="10"/>
      </c>
      <c r="AB23" s="91">
        <f t="shared" si="11"/>
      </c>
      <c r="AC23" s="81">
        <f t="array" ref="AC23">IF(AB23="","",IFERROR(INDEX(HELPER!$D$8:$D$48,IF(AB23&gt;=HELPER!$B$8,1,MATCH(AB23,HELPER!$B$8:$B$48,-1)+1)),""))</f>
      </c>
      <c r="AD23" s="82" t="str">
        <f>IF(AC23="","",IFERROR(VLOOKUP(AC23,HELPER!$F$8:$G$48,2,FALSE),""))</f>
      </c>
      <c r="AE23" s="3"/>
      <c r="AF23" s="4"/>
    </row>
    <row r="24" spans="1:32" ht="15" customHeight="1" thickBot="1" x14ac:dyDescent="0.2">
      <c r="A24" s="3"/>
      <c r="B24" s="69">
        <v>7</v>
      </c>
      <c r="C24" s="184" t="str">
        <f>IF('INPUT DATA'!K17="","",'INPUT DATA'!K17)</f>
      </c>
      <c r="D24" s="185"/>
      <c r="E24" s="186"/>
      <c r="F24" s="54"/>
      <c r="G24" s="71"/>
      <c r="H24" s="71"/>
      <c r="I24" s="71"/>
      <c r="J24" s="72"/>
      <c r="K24" s="73">
        <f t="shared" si="0"/>
      </c>
      <c r="L24" s="74">
        <f t="shared" si="1"/>
      </c>
      <c r="M24" s="89">
        <f t="shared" si="2"/>
      </c>
      <c r="N24" s="70"/>
      <c r="O24" s="71"/>
      <c r="P24" s="72"/>
      <c r="Q24" s="73">
        <f t="shared" si="3"/>
      </c>
      <c r="R24" s="74">
        <f t="shared" si="4"/>
      </c>
      <c r="S24" s="89">
        <f t="shared" si="5"/>
      </c>
      <c r="T24" s="70"/>
      <c r="U24" s="71"/>
      <c r="V24" s="72"/>
      <c r="W24" s="77">
        <f t="shared" si="6"/>
      </c>
      <c r="X24" s="74">
        <f t="shared" si="7"/>
      </c>
      <c r="Y24" s="75">
        <f t="shared" si="8"/>
      </c>
      <c r="Z24" s="78">
        <f t="shared" si="9"/>
      </c>
      <c r="AA24" s="90">
        <f t="shared" si="10"/>
      </c>
      <c r="AB24" s="91">
        <f t="shared" si="11"/>
      </c>
      <c r="AC24" s="81">
        <f t="array" ref="AC24">IF(AB24="","",IFERROR(INDEX(HELPER!$D$8:$D$48,IF(AB24&gt;=HELPER!$B$8,1,MATCH(AB24,HELPER!$B$8:$B$48,-1)+1)),""))</f>
      </c>
      <c r="AD24" s="82" t="str">
        <f>IF(AC24="","",IFERROR(VLOOKUP(AC24,HELPER!$F$8:$G$48,2,FALSE),""))</f>
      </c>
      <c r="AE24" s="3"/>
      <c r="AF24" s="4"/>
    </row>
    <row r="25" spans="1:32" ht="15" customHeight="1" thickBot="1" x14ac:dyDescent="0.2">
      <c r="A25" s="3"/>
      <c r="B25" s="69">
        <v>8</v>
      </c>
      <c r="C25" s="184" t="str">
        <f>IF('INPUT DATA'!K18="","",'INPUT DATA'!K18)</f>
      </c>
      <c r="D25" s="185"/>
      <c r="E25" s="186"/>
      <c r="F25" s="54"/>
      <c r="G25" s="71"/>
      <c r="H25" s="71"/>
      <c r="I25" s="71"/>
      <c r="J25" s="72"/>
      <c r="K25" s="73">
        <f t="shared" si="0"/>
      </c>
      <c r="L25" s="74">
        <f t="shared" si="1"/>
      </c>
      <c r="M25" s="89">
        <f t="shared" si="2"/>
      </c>
      <c r="N25" s="70"/>
      <c r="O25" s="71"/>
      <c r="P25" s="72"/>
      <c r="Q25" s="73">
        <f t="shared" si="3"/>
      </c>
      <c r="R25" s="74">
        <f t="shared" si="4"/>
      </c>
      <c r="S25" s="89">
        <f t="shared" si="5"/>
      </c>
      <c r="T25" s="70"/>
      <c r="U25" s="71"/>
      <c r="V25" s="72"/>
      <c r="W25" s="77">
        <f t="shared" si="6"/>
      </c>
      <c r="X25" s="74">
        <f t="shared" si="7"/>
      </c>
      <c r="Y25" s="75">
        <f t="shared" si="8"/>
      </c>
      <c r="Z25" s="78">
        <f t="shared" si="9"/>
      </c>
      <c r="AA25" s="90">
        <f t="shared" si="10"/>
      </c>
      <c r="AB25" s="91">
        <f t="shared" si="11"/>
      </c>
      <c r="AC25" s="81">
        <f t="array" ref="AC25">IF(AB25="","",IFERROR(INDEX(HELPER!$D$8:$D$48,IF(AB25&gt;=HELPER!$B$8,1,MATCH(AB25,HELPER!$B$8:$B$48,-1)+1)),""))</f>
      </c>
      <c r="AD25" s="82" t="str">
        <f>IF(AC25="","",IFERROR(VLOOKUP(AC25,HELPER!$F$8:$G$48,2,FALSE),""))</f>
      </c>
      <c r="AE25" s="3"/>
      <c r="AF25" s="4"/>
    </row>
    <row r="26" spans="1:32" ht="15" customHeight="1" thickBot="1" x14ac:dyDescent="0.2">
      <c r="A26" s="3"/>
      <c r="B26" s="69">
        <v>9</v>
      </c>
      <c r="C26" s="184" t="str">
        <f>IF('INPUT DATA'!K19="","",'INPUT DATA'!K19)</f>
      </c>
      <c r="D26" s="185"/>
      <c r="E26" s="186"/>
      <c r="F26" s="54"/>
      <c r="G26" s="71"/>
      <c r="H26" s="71"/>
      <c r="I26" s="71"/>
      <c r="J26" s="72"/>
      <c r="K26" s="73">
        <f t="shared" si="0"/>
      </c>
      <c r="L26" s="74">
        <f t="shared" si="1"/>
      </c>
      <c r="M26" s="89">
        <f t="shared" si="2"/>
      </c>
      <c r="N26" s="70"/>
      <c r="O26" s="71"/>
      <c r="P26" s="72"/>
      <c r="Q26" s="73">
        <f t="shared" si="3"/>
      </c>
      <c r="R26" s="74">
        <f t="shared" si="4"/>
      </c>
      <c r="S26" s="89">
        <f t="shared" si="5"/>
      </c>
      <c r="T26" s="70"/>
      <c r="U26" s="71"/>
      <c r="V26" s="72"/>
      <c r="W26" s="77">
        <f t="shared" si="6"/>
      </c>
      <c r="X26" s="74">
        <f t="shared" si="7"/>
      </c>
      <c r="Y26" s="75">
        <f t="shared" si="8"/>
      </c>
      <c r="Z26" s="78">
        <f t="shared" si="9"/>
      </c>
      <c r="AA26" s="90">
        <f t="shared" si="10"/>
      </c>
      <c r="AB26" s="91">
        <f t="shared" si="11"/>
      </c>
      <c r="AC26" s="81">
        <f t="array" ref="AC26">IF(AB26="","",IFERROR(INDEX(HELPER!$D$8:$D$48,IF(AB26&gt;=HELPER!$B$8,1,MATCH(AB26,HELPER!$B$8:$B$48,-1)+1)),""))</f>
      </c>
      <c r="AD26" s="82" t="str">
        <f>IF(AC26="","",IFERROR(VLOOKUP(AC26,HELPER!$F$8:$G$48,2,FALSE),""))</f>
      </c>
      <c r="AE26" s="3"/>
      <c r="AF26" s="4"/>
    </row>
    <row r="27" spans="1:32" ht="15" customHeight="1" thickBot="1" x14ac:dyDescent="0.2">
      <c r="A27" s="3"/>
      <c r="B27" s="69">
        <v>10</v>
      </c>
      <c r="C27" s="184" t="str">
        <f>IF('INPUT DATA'!K20="","",'INPUT DATA'!K20)</f>
      </c>
      <c r="D27" s="185"/>
      <c r="E27" s="186"/>
      <c r="F27" s="54"/>
      <c r="G27" s="71"/>
      <c r="H27" s="71"/>
      <c r="I27" s="71"/>
      <c r="J27" s="72"/>
      <c r="K27" s="73">
        <f t="shared" si="0"/>
      </c>
      <c r="L27" s="74">
        <f t="shared" si="1"/>
      </c>
      <c r="M27" s="89">
        <f t="shared" si="2"/>
      </c>
      <c r="N27" s="70"/>
      <c r="O27" s="71"/>
      <c r="P27" s="72"/>
      <c r="Q27" s="73">
        <f t="shared" si="3"/>
      </c>
      <c r="R27" s="74">
        <f t="shared" si="4"/>
      </c>
      <c r="S27" s="89">
        <f t="shared" si="5"/>
      </c>
      <c r="T27" s="70"/>
      <c r="U27" s="71"/>
      <c r="V27" s="72"/>
      <c r="W27" s="77">
        <f t="shared" si="6"/>
      </c>
      <c r="X27" s="74">
        <f t="shared" si="7"/>
      </c>
      <c r="Y27" s="75">
        <f t="shared" si="8"/>
      </c>
      <c r="Z27" s="78">
        <f t="shared" si="9"/>
      </c>
      <c r="AA27" s="90">
        <f t="shared" si="10"/>
      </c>
      <c r="AB27" s="91">
        <f t="shared" si="11"/>
      </c>
      <c r="AC27" s="81">
        <f t="array" ref="AC27">IF(AB27="","",IFERROR(INDEX(HELPER!$D$8:$D$48,IF(AB27&gt;=HELPER!$B$8,1,MATCH(AB27,HELPER!$B$8:$B$48,-1)+1)),""))</f>
      </c>
      <c r="AD27" s="82" t="str">
        <f>IF(AC27="","",IFERROR(VLOOKUP(AC27,HELPER!$F$8:$G$48,2,FALSE),""))</f>
      </c>
      <c r="AE27" s="3"/>
      <c r="AF27" s="4"/>
    </row>
    <row r="28" spans="1:32" ht="15" customHeight="1" thickBot="1" x14ac:dyDescent="0.2">
      <c r="A28" s="3"/>
      <c r="B28" s="69">
        <v>11</v>
      </c>
      <c r="C28" s="184" t="str">
        <f>IF('INPUT DATA'!K21="","",'INPUT DATA'!K21)</f>
      </c>
      <c r="D28" s="185"/>
      <c r="E28" s="186"/>
      <c r="F28" s="54"/>
      <c r="G28" s="71"/>
      <c r="H28" s="71"/>
      <c r="I28" s="71"/>
      <c r="J28" s="72"/>
      <c r="K28" s="73">
        <f t="shared" si="0"/>
      </c>
      <c r="L28" s="74">
        <f t="shared" si="1"/>
      </c>
      <c r="M28" s="89">
        <f t="shared" si="2"/>
      </c>
      <c r="N28" s="70"/>
      <c r="O28" s="71"/>
      <c r="P28" s="72"/>
      <c r="Q28" s="73">
        <f t="shared" si="3"/>
      </c>
      <c r="R28" s="74">
        <f t="shared" si="4"/>
      </c>
      <c r="S28" s="89">
        <f t="shared" si="5"/>
      </c>
      <c r="T28" s="70"/>
      <c r="U28" s="71"/>
      <c r="V28" s="72"/>
      <c r="W28" s="77">
        <f t="shared" si="6"/>
      </c>
      <c r="X28" s="74">
        <f t="shared" si="7"/>
      </c>
      <c r="Y28" s="75">
        <f t="shared" si="8"/>
      </c>
      <c r="Z28" s="78">
        <f t="shared" si="9"/>
      </c>
      <c r="AA28" s="90">
        <f t="shared" si="10"/>
      </c>
      <c r="AB28" s="91">
        <f t="shared" si="11"/>
      </c>
      <c r="AC28" s="81">
        <f t="array" ref="AC28">IF(AB28="","",IFERROR(INDEX(HELPER!$D$8:$D$48,IF(AB28&gt;=HELPER!$B$8,1,MATCH(AB28,HELPER!$B$8:$B$48,-1)+1)),""))</f>
      </c>
      <c r="AD28" s="82" t="str">
        <f>IF(AC28="","",IFERROR(VLOOKUP(AC28,HELPER!$F$8:$G$48,2,FALSE),""))</f>
      </c>
      <c r="AE28" s="3"/>
      <c r="AF28" s="4"/>
    </row>
    <row r="29" spans="1:32" ht="15" customHeight="1" thickBot="1" x14ac:dyDescent="0.2">
      <c r="A29" s="3"/>
      <c r="B29" s="69">
        <v>12</v>
      </c>
      <c r="C29" s="184" t="str">
        <f>IF('INPUT DATA'!K22="","",'INPUT DATA'!K22)</f>
      </c>
      <c r="D29" s="185"/>
      <c r="E29" s="186"/>
      <c r="F29" s="54"/>
      <c r="G29" s="71"/>
      <c r="H29" s="71"/>
      <c r="I29" s="71"/>
      <c r="J29" s="72"/>
      <c r="K29" s="73">
        <f t="shared" si="0"/>
      </c>
      <c r="L29" s="74">
        <f t="shared" si="1"/>
      </c>
      <c r="M29" s="89">
        <f t="shared" si="2"/>
      </c>
      <c r="N29" s="70"/>
      <c r="O29" s="71"/>
      <c r="P29" s="72"/>
      <c r="Q29" s="73">
        <f t="shared" si="3"/>
      </c>
      <c r="R29" s="74">
        <f t="shared" si="4"/>
      </c>
      <c r="S29" s="89">
        <f t="shared" si="5"/>
      </c>
      <c r="T29" s="70"/>
      <c r="U29" s="71"/>
      <c r="V29" s="72"/>
      <c r="W29" s="77">
        <f t="shared" si="6"/>
      </c>
      <c r="X29" s="74">
        <f t="shared" si="7"/>
      </c>
      <c r="Y29" s="75">
        <f t="shared" si="8"/>
      </c>
      <c r="Z29" s="78">
        <f t="shared" si="9"/>
      </c>
      <c r="AA29" s="90">
        <f t="shared" si="10"/>
      </c>
      <c r="AB29" s="91">
        <f t="shared" si="11"/>
      </c>
      <c r="AC29" s="81">
        <f t="array" ref="AC29">IF(AB29="","",IFERROR(INDEX(HELPER!$D$8:$D$48,IF(AB29&gt;=HELPER!$B$8,1,MATCH(AB29,HELPER!$B$8:$B$48,-1)+1)),""))</f>
      </c>
      <c r="AD29" s="82" t="str">
        <f>IF(AC29="","",IFERROR(VLOOKUP(AC29,HELPER!$F$8:$G$48,2,FALSE),""))</f>
      </c>
      <c r="AE29" s="3"/>
      <c r="AF29" s="4"/>
    </row>
    <row r="30" spans="1:32" ht="15" customHeight="1" thickBot="1" x14ac:dyDescent="0.2">
      <c r="A30" s="3"/>
      <c r="B30" s="69">
        <v>13</v>
      </c>
      <c r="C30" s="184" t="str">
        <f>IF('INPUT DATA'!K23="","",'INPUT DATA'!K23)</f>
      </c>
      <c r="D30" s="185"/>
      <c r="E30" s="186"/>
      <c r="F30" s="54"/>
      <c r="G30" s="71"/>
      <c r="H30" s="71"/>
      <c r="I30" s="71"/>
      <c r="J30" s="72"/>
      <c r="K30" s="73">
        <f t="shared" si="0"/>
      </c>
      <c r="L30" s="74">
        <f t="shared" si="1"/>
      </c>
      <c r="M30" s="89">
        <f t="shared" si="2"/>
      </c>
      <c r="N30" s="70"/>
      <c r="O30" s="71"/>
      <c r="P30" s="72"/>
      <c r="Q30" s="73">
        <f t="shared" si="3"/>
      </c>
      <c r="R30" s="74">
        <f t="shared" si="4"/>
      </c>
      <c r="S30" s="89">
        <f t="shared" si="5"/>
      </c>
      <c r="T30" s="70"/>
      <c r="U30" s="71"/>
      <c r="V30" s="72"/>
      <c r="W30" s="77">
        <f t="shared" si="6"/>
      </c>
      <c r="X30" s="74">
        <f t="shared" si="7"/>
      </c>
      <c r="Y30" s="75">
        <f t="shared" si="8"/>
      </c>
      <c r="Z30" s="78">
        <f t="shared" si="9"/>
      </c>
      <c r="AA30" s="90">
        <f t="shared" si="10"/>
      </c>
      <c r="AB30" s="91">
        <f t="shared" si="11"/>
      </c>
      <c r="AC30" s="81">
        <f t="array" ref="AC30">IF(AB30="","",IFERROR(INDEX(HELPER!$D$8:$D$48,IF(AB30&gt;=HELPER!$B$8,1,MATCH(AB30,HELPER!$B$8:$B$48,-1)+1)),""))</f>
      </c>
      <c r="AD30" s="82" t="str">
        <f>IF(AC30="","",IFERROR(VLOOKUP(AC30,HELPER!$F$8:$G$48,2,FALSE),""))</f>
      </c>
      <c r="AE30" s="3"/>
      <c r="AF30" s="4"/>
    </row>
    <row r="31" spans="1:32" ht="15" customHeight="1" thickBot="1" x14ac:dyDescent="0.2">
      <c r="A31" s="3"/>
      <c r="B31" s="69">
        <v>14</v>
      </c>
      <c r="C31" s="184" t="str">
        <f>IF('INPUT DATA'!K24="","",'INPUT DATA'!K24)</f>
      </c>
      <c r="D31" s="185"/>
      <c r="E31" s="186"/>
      <c r="F31" s="54"/>
      <c r="G31" s="71"/>
      <c r="H31" s="71"/>
      <c r="I31" s="71"/>
      <c r="J31" s="72"/>
      <c r="K31" s="73">
        <f t="shared" si="0"/>
      </c>
      <c r="L31" s="74">
        <f t="shared" si="1"/>
      </c>
      <c r="M31" s="89">
        <f t="shared" si="2"/>
      </c>
      <c r="N31" s="70"/>
      <c r="O31" s="71"/>
      <c r="P31" s="72"/>
      <c r="Q31" s="73">
        <f t="shared" si="3"/>
      </c>
      <c r="R31" s="74">
        <f t="shared" si="4"/>
      </c>
      <c r="S31" s="89">
        <f t="shared" si="5"/>
      </c>
      <c r="T31" s="70"/>
      <c r="U31" s="71"/>
      <c r="V31" s="72"/>
      <c r="W31" s="77">
        <f t="shared" si="6"/>
      </c>
      <c r="X31" s="74">
        <f t="shared" si="7"/>
      </c>
      <c r="Y31" s="75">
        <f t="shared" si="8"/>
      </c>
      <c r="Z31" s="78">
        <f t="shared" si="9"/>
      </c>
      <c r="AA31" s="90">
        <f t="shared" si="10"/>
      </c>
      <c r="AB31" s="91">
        <f t="shared" si="11"/>
      </c>
      <c r="AC31" s="81">
        <f t="array" ref="AC31">IF(AB31="","",IFERROR(INDEX(HELPER!$D$8:$D$48,IF(AB31&gt;=HELPER!$B$8,1,MATCH(AB31,HELPER!$B$8:$B$48,-1)+1)),""))</f>
      </c>
      <c r="AD31" s="82" t="str">
        <f>IF(AC31="","",IFERROR(VLOOKUP(AC31,HELPER!$F$8:$G$48,2,FALSE),""))</f>
      </c>
      <c r="AE31" s="3"/>
      <c r="AF31" s="4"/>
    </row>
    <row r="32" spans="1:32" ht="15" customHeight="1" thickBot="1" x14ac:dyDescent="0.2">
      <c r="A32" s="3"/>
      <c r="B32" s="69">
        <v>15</v>
      </c>
      <c r="C32" s="184" t="str">
        <f>IF('INPUT DATA'!K25="","",'INPUT DATA'!K25)</f>
      </c>
      <c r="D32" s="185"/>
      <c r="E32" s="186"/>
      <c r="F32" s="54"/>
      <c r="G32" s="71"/>
      <c r="H32" s="71"/>
      <c r="I32" s="71"/>
      <c r="J32" s="72"/>
      <c r="K32" s="73">
        <f t="shared" si="0"/>
      </c>
      <c r="L32" s="74">
        <f t="shared" si="1"/>
      </c>
      <c r="M32" s="89">
        <f t="shared" si="2"/>
      </c>
      <c r="N32" s="70"/>
      <c r="O32" s="71"/>
      <c r="P32" s="72"/>
      <c r="Q32" s="73">
        <f t="shared" si="3"/>
      </c>
      <c r="R32" s="74">
        <f t="shared" si="4"/>
      </c>
      <c r="S32" s="89">
        <f t="shared" si="5"/>
      </c>
      <c r="T32" s="70"/>
      <c r="U32" s="71"/>
      <c r="V32" s="72"/>
      <c r="W32" s="77">
        <f t="shared" si="6"/>
      </c>
      <c r="X32" s="74">
        <f t="shared" si="7"/>
      </c>
      <c r="Y32" s="75">
        <f t="shared" si="8"/>
      </c>
      <c r="Z32" s="78">
        <f t="shared" si="9"/>
      </c>
      <c r="AA32" s="90">
        <f t="shared" si="10"/>
      </c>
      <c r="AB32" s="91">
        <f t="shared" si="11"/>
      </c>
      <c r="AC32" s="81">
        <f t="array" ref="AC32">IF(AB32="","",IFERROR(INDEX(HELPER!$D$8:$D$48,IF(AB32&gt;=HELPER!$B$8,1,MATCH(AB32,HELPER!$B$8:$B$48,-1)+1)),""))</f>
      </c>
      <c r="AD32" s="82" t="str">
        <f>IF(AC32="","",IFERROR(VLOOKUP(AC32,HELPER!$F$8:$G$48,2,FALSE),""))</f>
      </c>
      <c r="AE32" s="3"/>
      <c r="AF32" s="4"/>
    </row>
    <row r="33" spans="1:32" ht="15" customHeight="1" thickBot="1" x14ac:dyDescent="0.2">
      <c r="A33" s="3"/>
      <c r="B33" s="69">
        <v>16</v>
      </c>
      <c r="C33" s="184" t="str">
        <f>IF('INPUT DATA'!K26="","",'INPUT DATA'!K26)</f>
      </c>
      <c r="D33" s="185"/>
      <c r="E33" s="186"/>
      <c r="F33" s="54"/>
      <c r="G33" s="71"/>
      <c r="H33" s="71"/>
      <c r="I33" s="71"/>
      <c r="J33" s="72"/>
      <c r="K33" s="73">
        <f t="shared" si="0"/>
      </c>
      <c r="L33" s="74">
        <f t="shared" si="1"/>
      </c>
      <c r="M33" s="89">
        <f t="shared" si="2"/>
      </c>
      <c r="N33" s="70"/>
      <c r="O33" s="71"/>
      <c r="P33" s="72"/>
      <c r="Q33" s="73">
        <f t="shared" si="3"/>
      </c>
      <c r="R33" s="74">
        <f t="shared" si="4"/>
      </c>
      <c r="S33" s="89">
        <f t="shared" si="5"/>
      </c>
      <c r="T33" s="70"/>
      <c r="U33" s="71"/>
      <c r="V33" s="72"/>
      <c r="W33" s="77">
        <f t="shared" si="6"/>
      </c>
      <c r="X33" s="74">
        <f t="shared" si="7"/>
      </c>
      <c r="Y33" s="75">
        <f t="shared" si="8"/>
      </c>
      <c r="Z33" s="78">
        <f t="shared" si="9"/>
      </c>
      <c r="AA33" s="90">
        <f t="shared" si="10"/>
      </c>
      <c r="AB33" s="91">
        <f t="shared" si="11"/>
      </c>
      <c r="AC33" s="81">
        <f t="array" ref="AC33">IF(AB33="","",IFERROR(INDEX(HELPER!$D$8:$D$48,IF(AB33&gt;=HELPER!$B$8,1,MATCH(AB33,HELPER!$B$8:$B$48,-1)+1)),""))</f>
      </c>
      <c r="AD33" s="82" t="str">
        <f>IF(AC33="","",IFERROR(VLOOKUP(AC33,HELPER!$F$8:$G$48,2,FALSE),""))</f>
      </c>
      <c r="AE33" s="3"/>
      <c r="AF33" s="4"/>
    </row>
    <row r="34" spans="1:32" ht="15" customHeight="1" thickBot="1" x14ac:dyDescent="0.2">
      <c r="A34" s="3"/>
      <c r="B34" s="69">
        <v>17</v>
      </c>
      <c r="C34" s="184" t="str">
        <f>IF('INPUT DATA'!K27="","",'INPUT DATA'!K27)</f>
      </c>
      <c r="D34" s="185"/>
      <c r="E34" s="186"/>
      <c r="F34" s="54"/>
      <c r="G34" s="71"/>
      <c r="H34" s="71"/>
      <c r="I34" s="71"/>
      <c r="J34" s="72"/>
      <c r="K34" s="73">
        <f t="shared" si="0"/>
      </c>
      <c r="L34" s="74">
        <f t="shared" si="1"/>
      </c>
      <c r="M34" s="89">
        <f t="shared" si="2"/>
      </c>
      <c r="N34" s="70"/>
      <c r="O34" s="71"/>
      <c r="P34" s="72"/>
      <c r="Q34" s="73">
        <f t="shared" si="3"/>
      </c>
      <c r="R34" s="74">
        <f t="shared" si="4"/>
      </c>
      <c r="S34" s="89">
        <f t="shared" si="5"/>
      </c>
      <c r="T34" s="70"/>
      <c r="U34" s="71"/>
      <c r="V34" s="72"/>
      <c r="W34" s="77">
        <f t="shared" si="6"/>
      </c>
      <c r="X34" s="74">
        <f t="shared" si="7"/>
      </c>
      <c r="Y34" s="75">
        <f t="shared" si="8"/>
      </c>
      <c r="Z34" s="78">
        <f t="shared" si="9"/>
      </c>
      <c r="AA34" s="90">
        <f t="shared" si="10"/>
      </c>
      <c r="AB34" s="91">
        <f t="shared" si="11"/>
      </c>
      <c r="AC34" s="81">
        <f t="array" ref="AC34">IF(AB34="","",IFERROR(INDEX(HELPER!$D$8:$D$48,IF(AB34&gt;=HELPER!$B$8,1,MATCH(AB34,HELPER!$B$8:$B$48,-1)+1)),""))</f>
      </c>
      <c r="AD34" s="82" t="str">
        <f>IF(AC34="","",IFERROR(VLOOKUP(AC34,HELPER!$F$8:$G$48,2,FALSE),""))</f>
      </c>
      <c r="AE34" s="3"/>
      <c r="AF34" s="4"/>
    </row>
    <row r="35" spans="1:32" ht="15" customHeight="1" thickBot="1" x14ac:dyDescent="0.2">
      <c r="A35" s="3"/>
      <c r="B35" s="69">
        <v>18</v>
      </c>
      <c r="C35" s="184" t="str">
        <f>IF('INPUT DATA'!K28="","",'INPUT DATA'!K28)</f>
      </c>
      <c r="D35" s="185"/>
      <c r="E35" s="186"/>
      <c r="F35" s="54"/>
      <c r="G35" s="71"/>
      <c r="H35" s="71"/>
      <c r="I35" s="71"/>
      <c r="J35" s="72"/>
      <c r="K35" s="73">
        <f t="shared" si="0"/>
      </c>
      <c r="L35" s="74">
        <f t="shared" si="1"/>
      </c>
      <c r="M35" s="89">
        <f t="shared" si="2"/>
      </c>
      <c r="N35" s="70"/>
      <c r="O35" s="71"/>
      <c r="P35" s="72"/>
      <c r="Q35" s="73">
        <f t="shared" si="3"/>
      </c>
      <c r="R35" s="74">
        <f t="shared" si="4"/>
      </c>
      <c r="S35" s="89">
        <f t="shared" si="5"/>
      </c>
      <c r="T35" s="70"/>
      <c r="U35" s="71"/>
      <c r="V35" s="72"/>
      <c r="W35" s="77">
        <f t="shared" si="6"/>
      </c>
      <c r="X35" s="74">
        <f t="shared" si="7"/>
      </c>
      <c r="Y35" s="75">
        <f t="shared" si="8"/>
      </c>
      <c r="Z35" s="78">
        <f t="shared" si="9"/>
      </c>
      <c r="AA35" s="90">
        <f t="shared" si="10"/>
      </c>
      <c r="AB35" s="91">
        <f t="shared" si="11"/>
      </c>
      <c r="AC35" s="81">
        <f t="array" ref="AC35">IF(AB35="","",IFERROR(INDEX(HELPER!$D$8:$D$48,IF(AB35&gt;=HELPER!$B$8,1,MATCH(AB35,HELPER!$B$8:$B$48,-1)+1)),""))</f>
      </c>
      <c r="AD35" s="82" t="str">
        <f>IF(AC35="","",IFERROR(VLOOKUP(AC35,HELPER!$F$8:$G$48,2,FALSE),""))</f>
      </c>
      <c r="AE35" s="3"/>
      <c r="AF35" s="4"/>
    </row>
    <row r="36" spans="1:32" ht="15" customHeight="1" thickBot="1" x14ac:dyDescent="0.2">
      <c r="A36" s="3"/>
      <c r="B36" s="69">
        <v>19</v>
      </c>
      <c r="C36" s="184" t="str">
        <f>IF('INPUT DATA'!K29="","",'INPUT DATA'!K29)</f>
      </c>
      <c r="D36" s="185"/>
      <c r="E36" s="186"/>
      <c r="F36" s="54"/>
      <c r="G36" s="71"/>
      <c r="H36" s="71"/>
      <c r="I36" s="71"/>
      <c r="J36" s="72"/>
      <c r="K36" s="73">
        <f t="shared" si="0"/>
      </c>
      <c r="L36" s="74">
        <f t="shared" si="1"/>
      </c>
      <c r="M36" s="89">
        <f t="shared" si="2"/>
      </c>
      <c r="N36" s="70"/>
      <c r="O36" s="71"/>
      <c r="P36" s="72"/>
      <c r="Q36" s="73">
        <f t="shared" si="3"/>
      </c>
      <c r="R36" s="74">
        <f t="shared" si="4"/>
      </c>
      <c r="S36" s="89">
        <f t="shared" si="5"/>
      </c>
      <c r="T36" s="70"/>
      <c r="U36" s="71"/>
      <c r="V36" s="72"/>
      <c r="W36" s="77">
        <f t="shared" si="6"/>
      </c>
      <c r="X36" s="74">
        <f t="shared" si="7"/>
      </c>
      <c r="Y36" s="75">
        <f t="shared" si="8"/>
      </c>
      <c r="Z36" s="78">
        <f t="shared" si="9"/>
      </c>
      <c r="AA36" s="90">
        <f t="shared" si="10"/>
      </c>
      <c r="AB36" s="91">
        <f t="shared" si="11"/>
      </c>
      <c r="AC36" s="81">
        <f t="array" ref="AC36">IF(AB36="","",IFERROR(INDEX(HELPER!$D$8:$D$48,IF(AB36&gt;=HELPER!$B$8,1,MATCH(AB36,HELPER!$B$8:$B$48,-1)+1)),""))</f>
      </c>
      <c r="AD36" s="82" t="str">
        <f>IF(AC36="","",IFERROR(VLOOKUP(AC36,HELPER!$F$8:$G$48,2,FALSE),""))</f>
      </c>
      <c r="AE36" s="3"/>
      <c r="AF36" s="4"/>
    </row>
    <row r="37" spans="1:32" ht="15" customHeight="1" thickBot="1" x14ac:dyDescent="0.2">
      <c r="A37" s="3"/>
      <c r="B37" s="98">
        <v>20</v>
      </c>
      <c r="C37" s="184" t="str">
        <f>IF('INPUT DATA'!K30="","",'INPUT DATA'!K30)</f>
      </c>
      <c r="D37" s="185"/>
      <c r="E37" s="186"/>
      <c r="F37" s="54"/>
      <c r="G37" s="71"/>
      <c r="H37" s="71"/>
      <c r="I37" s="71"/>
      <c r="J37" s="72"/>
      <c r="K37" s="73">
        <f t="shared" si="0"/>
      </c>
      <c r="L37" s="74">
        <f t="shared" si="1"/>
      </c>
      <c r="M37" s="89">
        <f t="shared" si="2"/>
      </c>
      <c r="N37" s="70"/>
      <c r="O37" s="71"/>
      <c r="P37" s="72"/>
      <c r="Q37" s="73">
        <f t="shared" si="3"/>
      </c>
      <c r="R37" s="74">
        <f t="shared" si="4"/>
      </c>
      <c r="S37" s="89">
        <f t="shared" si="5"/>
      </c>
      <c r="T37" s="70"/>
      <c r="U37" s="71"/>
      <c r="V37" s="72"/>
      <c r="W37" s="77">
        <f t="shared" si="6"/>
      </c>
      <c r="X37" s="74">
        <f t="shared" si="7"/>
      </c>
      <c r="Y37" s="75">
        <f t="shared" si="8"/>
      </c>
      <c r="Z37" s="78">
        <f t="shared" si="9"/>
      </c>
      <c r="AA37" s="90">
        <f t="shared" si="10"/>
      </c>
      <c r="AB37" s="91">
        <f t="shared" si="11"/>
      </c>
      <c r="AC37" s="81">
        <f t="array" ref="AC37">IF(AB37="","",IFERROR(INDEX(HELPER!$D$8:$D$48,IF(AB37&gt;=HELPER!$B$8,1,MATCH(AB37,HELPER!$B$8:$B$48,-1)+1)),""))</f>
      </c>
      <c r="AD37" s="82" t="str">
        <f>IF(AC37="","",IFERROR(VLOOKUP(AC37,HELPER!$F$8:$G$48,2,FALSE),""))</f>
      </c>
      <c r="AE37" s="3"/>
      <c r="AF37" s="4"/>
    </row>
    <row r="38" spans="1:32" ht="15" customHeight="1" thickBot="1" x14ac:dyDescent="0.2">
      <c r="A38" s="3"/>
      <c r="B38" s="98">
        <v>21</v>
      </c>
      <c r="C38" s="184" t="str">
        <f>IF('INPUT DATA'!K31="","",'INPUT DATA'!K31)</f>
      </c>
      <c r="D38" s="185"/>
      <c r="E38" s="186"/>
      <c r="F38" s="54"/>
      <c r="G38" s="71"/>
      <c r="H38" s="71"/>
      <c r="I38" s="71"/>
      <c r="J38" s="72"/>
      <c r="K38" s="73">
        <f t="shared" si="0"/>
      </c>
      <c r="L38" s="74">
        <f t="shared" si="1"/>
      </c>
      <c r="M38" s="89">
        <f t="shared" si="2"/>
      </c>
      <c r="N38" s="70"/>
      <c r="O38" s="71"/>
      <c r="P38" s="72"/>
      <c r="Q38" s="73">
        <f t="shared" si="3"/>
      </c>
      <c r="R38" s="74">
        <f t="shared" si="4"/>
      </c>
      <c r="S38" s="89">
        <f t="shared" si="5"/>
      </c>
      <c r="T38" s="70"/>
      <c r="U38" s="71"/>
      <c r="V38" s="72"/>
      <c r="W38" s="77">
        <f t="shared" si="6"/>
      </c>
      <c r="X38" s="74">
        <f t="shared" si="7"/>
      </c>
      <c r="Y38" s="75">
        <f t="shared" si="8"/>
      </c>
      <c r="Z38" s="78">
        <f t="shared" si="9"/>
      </c>
      <c r="AA38" s="90">
        <f t="shared" si="10"/>
      </c>
      <c r="AB38" s="91">
        <f t="shared" si="11"/>
      </c>
      <c r="AC38" s="81">
        <f t="array" ref="AC38">IF(AB38="","",IFERROR(INDEX(HELPER!$D$8:$D$48,IF(AB38&gt;=HELPER!$B$8,1,MATCH(AB38,HELPER!$B$8:$B$48,-1)+1)),""))</f>
      </c>
      <c r="AD38" s="82" t="str">
        <f>IF(AC38="","",IFERROR(VLOOKUP(AC38,HELPER!$F$8:$G$48,2,FALSE),""))</f>
      </c>
      <c r="AE38" s="3"/>
      <c r="AF38" s="4"/>
    </row>
    <row r="39" spans="1:32" ht="15" customHeight="1" thickBot="1" x14ac:dyDescent="0.2">
      <c r="A39" s="3"/>
      <c r="B39" s="98">
        <v>22</v>
      </c>
      <c r="C39" s="184" t="str">
        <f>IF('INPUT DATA'!K32="","",'INPUT DATA'!K32)</f>
      </c>
      <c r="D39" s="185"/>
      <c r="E39" s="186"/>
      <c r="F39" s="54"/>
      <c r="G39" s="71"/>
      <c r="H39" s="71"/>
      <c r="I39" s="71"/>
      <c r="J39" s="72"/>
      <c r="K39" s="73">
        <f t="shared" si="0"/>
      </c>
      <c r="L39" s="74">
        <f t="shared" si="1"/>
      </c>
      <c r="M39" s="89">
        <f t="shared" si="2"/>
      </c>
      <c r="N39" s="70"/>
      <c r="O39" s="71"/>
      <c r="P39" s="72"/>
      <c r="Q39" s="73">
        <f t="shared" si="3"/>
      </c>
      <c r="R39" s="74">
        <f t="shared" si="4"/>
      </c>
      <c r="S39" s="89">
        <f t="shared" si="5"/>
      </c>
      <c r="T39" s="70"/>
      <c r="U39" s="71"/>
      <c r="V39" s="72"/>
      <c r="W39" s="77">
        <f t="shared" si="6"/>
      </c>
      <c r="X39" s="74">
        <f t="shared" si="7"/>
      </c>
      <c r="Y39" s="75">
        <f t="shared" si="8"/>
      </c>
      <c r="Z39" s="78">
        <f t="shared" si="9"/>
      </c>
      <c r="AA39" s="90">
        <f t="shared" si="10"/>
      </c>
      <c r="AB39" s="91">
        <f t="shared" si="11"/>
      </c>
      <c r="AC39" s="81">
        <f t="array" ref="AC39">IF(AB39="","",IFERROR(INDEX(HELPER!$D$8:$D$48,IF(AB39&gt;=HELPER!$B$8,1,MATCH(AB39,HELPER!$B$8:$B$48,-1)+1)),""))</f>
      </c>
      <c r="AD39" s="82" t="str">
        <f>IF(AC39="","",IFERROR(VLOOKUP(AC39,HELPER!$F$8:$G$48,2,FALSE),""))</f>
      </c>
      <c r="AE39" s="3"/>
      <c r="AF39" s="4"/>
    </row>
    <row r="40" spans="1:32" ht="15" customHeight="1" thickBot="1" x14ac:dyDescent="0.2">
      <c r="A40" s="3"/>
      <c r="B40" s="98">
        <v>23</v>
      </c>
      <c r="C40" s="184" t="str">
        <f>IF('INPUT DATA'!K33="","",'INPUT DATA'!K33)</f>
      </c>
      <c r="D40" s="185"/>
      <c r="E40" s="186"/>
      <c r="F40" s="54"/>
      <c r="G40" s="71"/>
      <c r="H40" s="71"/>
      <c r="I40" s="71"/>
      <c r="J40" s="72"/>
      <c r="K40" s="73">
        <f t="shared" si="0"/>
      </c>
      <c r="L40" s="74">
        <f t="shared" si="1"/>
      </c>
      <c r="M40" s="89">
        <f t="shared" si="2"/>
      </c>
      <c r="N40" s="70"/>
      <c r="O40" s="71"/>
      <c r="P40" s="72"/>
      <c r="Q40" s="73">
        <f t="shared" si="3"/>
      </c>
      <c r="R40" s="74">
        <f t="shared" si="4"/>
      </c>
      <c r="S40" s="89">
        <f t="shared" si="5"/>
      </c>
      <c r="T40" s="70"/>
      <c r="U40" s="71"/>
      <c r="V40" s="72"/>
      <c r="W40" s="77">
        <f t="shared" si="6"/>
      </c>
      <c r="X40" s="74">
        <f t="shared" si="7"/>
      </c>
      <c r="Y40" s="75">
        <f t="shared" si="8"/>
      </c>
      <c r="Z40" s="78">
        <f t="shared" si="9"/>
      </c>
      <c r="AA40" s="90">
        <f t="shared" si="10"/>
      </c>
      <c r="AB40" s="91">
        <f t="shared" si="11"/>
      </c>
      <c r="AC40" s="81">
        <f t="array" ref="AC40">IF(AB40="","",IFERROR(INDEX(HELPER!$D$8:$D$48,IF(AB40&gt;=HELPER!$B$8,1,MATCH(AB40,HELPER!$B$8:$B$48,-1)+1)),""))</f>
      </c>
      <c r="AD40" s="82" t="str">
        <f>IF(AC40="","",IFERROR(VLOOKUP(AC40,HELPER!$F$8:$G$48,2,FALSE),""))</f>
      </c>
      <c r="AE40" s="3"/>
      <c r="AF40" s="4"/>
    </row>
    <row r="41" spans="1:32" ht="15" customHeight="1" thickBot="1" x14ac:dyDescent="0.2">
      <c r="A41" s="3"/>
      <c r="B41" s="98">
        <v>24</v>
      </c>
      <c r="C41" s="184" t="str">
        <f>IF('INPUT DATA'!K34="","",'INPUT DATA'!K34)</f>
      </c>
      <c r="D41" s="185"/>
      <c r="E41" s="186"/>
      <c r="F41" s="54"/>
      <c r="G41" s="71"/>
      <c r="H41" s="71"/>
      <c r="I41" s="71"/>
      <c r="J41" s="72"/>
      <c r="K41" s="73">
        <f t="shared" si="0"/>
      </c>
      <c r="L41" s="74">
        <f t="shared" si="1"/>
      </c>
      <c r="M41" s="89">
        <f t="shared" si="2"/>
      </c>
      <c r="N41" s="70"/>
      <c r="O41" s="71"/>
      <c r="P41" s="72"/>
      <c r="Q41" s="73">
        <f t="shared" si="3"/>
      </c>
      <c r="R41" s="74">
        <f t="shared" si="4"/>
      </c>
      <c r="S41" s="89">
        <f t="shared" si="5"/>
      </c>
      <c r="T41" s="70"/>
      <c r="U41" s="71"/>
      <c r="V41" s="72"/>
      <c r="W41" s="77">
        <f t="shared" si="6"/>
      </c>
      <c r="X41" s="74">
        <f t="shared" si="7"/>
      </c>
      <c r="Y41" s="75">
        <f t="shared" si="8"/>
      </c>
      <c r="Z41" s="78">
        <f t="shared" si="9"/>
      </c>
      <c r="AA41" s="90">
        <f t="shared" si="10"/>
      </c>
      <c r="AB41" s="91">
        <f t="shared" si="11"/>
      </c>
      <c r="AC41" s="81">
        <f t="array" ref="AC41">IF(AB41="","",IFERROR(INDEX(HELPER!$D$8:$D$48,IF(AB41&gt;=HELPER!$B$8,1,MATCH(AB41,HELPER!$B$8:$B$48,-1)+1)),""))</f>
      </c>
      <c r="AD41" s="82" t="str">
        <f>IF(AC41="","",IFERROR(VLOOKUP(AC41,HELPER!$F$8:$G$48,2,FALSE),""))</f>
      </c>
      <c r="AE41" s="3"/>
      <c r="AF41" s="4"/>
    </row>
    <row r="42" spans="1:32" ht="15" customHeight="1" x14ac:dyDescent="0.15">
      <c r="A42" s="3"/>
      <c r="B42" s="98">
        <v>25</v>
      </c>
      <c r="C42" s="184" t="str">
        <f>IF('INPUT DATA'!K35="","",'INPUT DATA'!K35)</f>
      </c>
      <c r="D42" s="185"/>
      <c r="E42" s="186"/>
      <c r="F42" s="54"/>
      <c r="G42" s="71"/>
      <c r="H42" s="71"/>
      <c r="I42" s="71"/>
      <c r="J42" s="72"/>
      <c r="K42" s="73">
        <f t="shared" si="0"/>
      </c>
      <c r="L42" s="74">
        <f t="shared" si="1"/>
      </c>
      <c r="M42" s="89">
        <f t="shared" si="2"/>
      </c>
      <c r="N42" s="70"/>
      <c r="O42" s="71"/>
      <c r="P42" s="72"/>
      <c r="Q42" s="73">
        <f t="shared" si="3"/>
      </c>
      <c r="R42" s="74">
        <f t="shared" si="4"/>
      </c>
      <c r="S42" s="89">
        <f t="shared" si="5"/>
      </c>
      <c r="T42" s="70"/>
      <c r="U42" s="71"/>
      <c r="V42" s="72"/>
      <c r="W42" s="77">
        <f t="shared" si="6"/>
      </c>
      <c r="X42" s="74">
        <f t="shared" si="7"/>
      </c>
      <c r="Y42" s="75">
        <f t="shared" si="8"/>
      </c>
      <c r="Z42" s="78">
        <f t="shared" si="9"/>
      </c>
      <c r="AA42" s="90">
        <f t="shared" si="10"/>
      </c>
      <c r="AB42" s="91">
        <f t="shared" si="11"/>
      </c>
      <c r="AC42" s="81">
        <f t="array" ref="AC42">IF(AB42="","",IFERROR(INDEX(HELPER!$D$8:$D$48,IF(AB42&gt;=HELPER!$B$8,1,MATCH(AB42,HELPER!$B$8:$B$48,-1)+1)),""))</f>
      </c>
      <c r="AD42" s="82" t="str">
        <f>IF(AC42="","",IFERROR(VLOOKUP(AC42,HELPER!$F$8:$G$48,2,FALSE),""))</f>
      </c>
      <c r="AE42" s="3"/>
      <c r="AF42" s="4"/>
    </row>
    <row r="43" spans="1:32" ht="15" customHeight="1" x14ac:dyDescent="0.15">
      <c r="A43" s="3"/>
      <c r="B43" s="98">
        <v>26</v>
      </c>
      <c r="C43" s="184" t="str">
        <f>IF('INPUT DATA'!K36="","",'INPUT DATA'!K36)</f>
      </c>
      <c r="D43" s="185"/>
      <c r="E43" s="186"/>
      <c r="F43" s="70"/>
      <c r="G43" s="71"/>
      <c r="H43" s="71"/>
      <c r="I43" s="71"/>
      <c r="J43" s="72"/>
      <c r="K43" s="73" t="str">
        <f t="shared" si="0"/>
      </c>
      <c r="L43" s="74" t="str">
        <f t="shared" si="1"/>
      </c>
      <c r="M43" s="89" t="str">
        <f t="shared" si="2"/>
      </c>
      <c r="N43" s="70"/>
      <c r="O43" s="71"/>
      <c r="P43" s="72"/>
      <c r="Q43" s="73" t="str">
        <f t="shared" si="3"/>
      </c>
      <c r="R43" s="74" t="str">
        <f t="shared" si="4"/>
      </c>
      <c r="S43" s="89" t="str">
        <f t="shared" si="5"/>
      </c>
      <c r="T43" s="70"/>
      <c r="U43" s="71"/>
      <c r="V43" s="72"/>
      <c r="W43" s="77" t="str">
        <f t="shared" si="6"/>
      </c>
      <c r="X43" s="74" t="str">
        <f t="shared" si="7"/>
      </c>
      <c r="Y43" s="75" t="str">
        <f t="shared" si="8"/>
      </c>
      <c r="Z43" s="78" t="str">
        <f t="shared" si="9"/>
      </c>
      <c r="AA43" s="90" t="str">
        <f t="shared" si="10"/>
      </c>
      <c r="AB43" s="91" t="str">
        <f t="shared" si="11"/>
      </c>
      <c r="AC43" s="81" t="str">
        <f t="array" ref="AC43">IF(AB43="","",IFERROR(INDEX(HELPER!$D$8:$D$48,IF(AB43&gt;=HELPER!$B$8,1,MATCH(AB43,HELPER!$B$8:$B$48,-1)+1)),""))</f>
      </c>
      <c r="AD43" s="82" t="str">
        <f>IF(AC43="","",IFERROR(VLOOKUP(AC43,HELPER!$F$8:$G$48,2,FALSE),""))</f>
      </c>
      <c r="AE43" s="3"/>
      <c r="AF43" s="4"/>
    </row>
    <row r="44" spans="1:32" ht="15" customHeight="1" x14ac:dyDescent="0.15">
      <c r="A44" s="3"/>
      <c r="B44" s="98">
        <v>27</v>
      </c>
      <c r="C44" s="184" t="str">
        <f>IF('INPUT DATA'!K37="","",'INPUT DATA'!K37)</f>
      </c>
      <c r="D44" s="185"/>
      <c r="E44" s="186"/>
      <c r="F44" s="70"/>
      <c r="G44" s="71"/>
      <c r="H44" s="71"/>
      <c r="I44" s="71"/>
      <c r="J44" s="72"/>
      <c r="K44" s="73" t="str">
        <f t="shared" si="0"/>
      </c>
      <c r="L44" s="74" t="str">
        <f t="shared" si="1"/>
      </c>
      <c r="M44" s="89" t="str">
        <f t="shared" si="2"/>
      </c>
      <c r="N44" s="70"/>
      <c r="O44" s="71"/>
      <c r="P44" s="72"/>
      <c r="Q44" s="73" t="str">
        <f t="shared" si="3"/>
      </c>
      <c r="R44" s="74" t="str">
        <f t="shared" si="4"/>
      </c>
      <c r="S44" s="89" t="str">
        <f t="shared" si="5"/>
      </c>
      <c r="T44" s="70"/>
      <c r="U44" s="71"/>
      <c r="V44" s="72"/>
      <c r="W44" s="77" t="str">
        <f t="shared" si="6"/>
      </c>
      <c r="X44" s="74" t="str">
        <f t="shared" si="7"/>
      </c>
      <c r="Y44" s="75" t="str">
        <f t="shared" si="8"/>
      </c>
      <c r="Z44" s="78" t="str">
        <f t="shared" si="9"/>
      </c>
      <c r="AA44" s="90" t="str">
        <f t="shared" si="10"/>
      </c>
      <c r="AB44" s="91" t="str">
        <f t="shared" si="11"/>
      </c>
      <c r="AC44" s="81" t="str">
        <f t="array" ref="AC44">IF(AB44="","",IFERROR(INDEX(HELPER!$D$8:$D$48,IF(AB44&gt;=HELPER!$B$8,1,MATCH(AB44,HELPER!$B$8:$B$48,-1)+1)),""))</f>
      </c>
      <c r="AD44" s="82" t="str">
        <f>IF(AC44="","",IFERROR(VLOOKUP(AC44,HELPER!$F$8:$G$48,2,FALSE),""))</f>
      </c>
      <c r="AE44" s="3"/>
      <c r="AF44" s="4"/>
    </row>
    <row r="45" spans="1:32" ht="15" customHeight="1" x14ac:dyDescent="0.15">
      <c r="A45" s="3"/>
      <c r="B45" s="98">
        <v>28</v>
      </c>
      <c r="C45" s="184" t="str">
        <f>IF('INPUT DATA'!K38="","",'INPUT DATA'!K38)</f>
      </c>
      <c r="D45" s="185"/>
      <c r="E45" s="186"/>
      <c r="F45" s="70"/>
      <c r="G45" s="71"/>
      <c r="H45" s="71"/>
      <c r="I45" s="71"/>
      <c r="J45" s="72"/>
      <c r="K45" s="73" t="str">
        <f t="shared" si="0"/>
      </c>
      <c r="L45" s="74" t="str">
        <f t="shared" si="1"/>
      </c>
      <c r="M45" s="89" t="str">
        <f t="shared" si="2"/>
      </c>
      <c r="N45" s="70"/>
      <c r="O45" s="71"/>
      <c r="P45" s="72"/>
      <c r="Q45" s="73" t="str">
        <f t="shared" si="3"/>
      </c>
      <c r="R45" s="74" t="str">
        <f t="shared" si="4"/>
      </c>
      <c r="S45" s="89" t="str">
        <f t="shared" si="5"/>
      </c>
      <c r="T45" s="70"/>
      <c r="U45" s="71"/>
      <c r="V45" s="72"/>
      <c r="W45" s="77" t="str">
        <f t="shared" si="6"/>
      </c>
      <c r="X45" s="74" t="str">
        <f t="shared" si="7"/>
      </c>
      <c r="Y45" s="75" t="str">
        <f t="shared" si="8"/>
      </c>
      <c r="Z45" s="78" t="str">
        <f t="shared" si="9"/>
      </c>
      <c r="AA45" s="90" t="str">
        <f t="shared" si="10"/>
      </c>
      <c r="AB45" s="91" t="str">
        <f t="shared" si="11"/>
      </c>
      <c r="AC45" s="81" t="str">
        <f t="array" ref="AC45">IF(AB45="","",IFERROR(INDEX(HELPER!$D$8:$D$48,IF(AB45&gt;=HELPER!$B$8,1,MATCH(AB45,HELPER!$B$8:$B$48,-1)+1)),""))</f>
      </c>
      <c r="AD45" s="82" t="str">
        <f>IF(AC45="","",IFERROR(VLOOKUP(AC45,HELPER!$F$8:$G$48,2,FALSE),""))</f>
      </c>
      <c r="AE45" s="3"/>
      <c r="AF45" s="4"/>
    </row>
    <row r="46" spans="1:32" ht="15" customHeight="1" x14ac:dyDescent="0.15">
      <c r="A46" s="3"/>
      <c r="B46" s="98">
        <v>29</v>
      </c>
      <c r="C46" s="184" t="str">
        <f>IF('INPUT DATA'!K39="","",'INPUT DATA'!K39)</f>
      </c>
      <c r="D46" s="185"/>
      <c r="E46" s="186"/>
      <c r="F46" s="70"/>
      <c r="G46" s="71"/>
      <c r="H46" s="71"/>
      <c r="I46" s="71"/>
      <c r="J46" s="72"/>
      <c r="K46" s="73" t="str">
        <f t="shared" si="0"/>
      </c>
      <c r="L46" s="74" t="str">
        <f t="shared" si="1"/>
      </c>
      <c r="M46" s="89" t="str">
        <f t="shared" si="2"/>
      </c>
      <c r="N46" s="70"/>
      <c r="O46" s="71"/>
      <c r="P46" s="72"/>
      <c r="Q46" s="73" t="str">
        <f t="shared" si="3"/>
      </c>
      <c r="R46" s="74" t="str">
        <f t="shared" si="4"/>
      </c>
      <c r="S46" s="89" t="str">
        <f t="shared" si="5"/>
      </c>
      <c r="T46" s="70"/>
      <c r="U46" s="71"/>
      <c r="V46" s="72"/>
      <c r="W46" s="77" t="str">
        <f t="shared" si="6"/>
      </c>
      <c r="X46" s="74" t="str">
        <f t="shared" si="7"/>
      </c>
      <c r="Y46" s="75" t="str">
        <f t="shared" si="8"/>
      </c>
      <c r="Z46" s="78" t="str">
        <f t="shared" si="9"/>
      </c>
      <c r="AA46" s="90" t="str">
        <f t="shared" si="10"/>
      </c>
      <c r="AB46" s="91" t="str">
        <f t="shared" si="11"/>
      </c>
      <c r="AC46" s="81" t="str">
        <f t="array" ref="AC46">IF(AB46="","",IFERROR(INDEX(HELPER!$D$8:$D$48,IF(AB46&gt;=HELPER!$B$8,1,MATCH(AB46,HELPER!$B$8:$B$48,-1)+1)),""))</f>
      </c>
      <c r="AD46" s="82" t="str">
        <f>IF(AC46="","",IFERROR(VLOOKUP(AC46,HELPER!$F$8:$G$48,2,FALSE),""))</f>
      </c>
      <c r="AE46" s="3"/>
      <c r="AF46" s="4"/>
    </row>
    <row r="47" spans="1:32" ht="15" customHeight="1" x14ac:dyDescent="0.15">
      <c r="A47" s="3"/>
      <c r="B47" s="98">
        <v>30</v>
      </c>
      <c r="C47" s="184" t="str">
        <f>IF('INPUT DATA'!K40="","",'INPUT DATA'!K40)</f>
      </c>
      <c r="D47" s="185"/>
      <c r="E47" s="186"/>
      <c r="F47" s="70"/>
      <c r="G47" s="71"/>
      <c r="H47" s="71"/>
      <c r="I47" s="71"/>
      <c r="J47" s="72"/>
      <c r="K47" s="73" t="str">
        <f t="shared" si="0"/>
      </c>
      <c r="L47" s="74" t="str">
        <f t="shared" si="1"/>
      </c>
      <c r="M47" s="89" t="str">
        <f t="shared" si="2"/>
      </c>
      <c r="N47" s="70"/>
      <c r="O47" s="71"/>
      <c r="P47" s="72"/>
      <c r="Q47" s="73" t="str">
        <f t="shared" si="3"/>
      </c>
      <c r="R47" s="74" t="str">
        <f t="shared" si="4"/>
      </c>
      <c r="S47" s="89" t="str">
        <f t="shared" si="5"/>
      </c>
      <c r="T47" s="70"/>
      <c r="U47" s="71"/>
      <c r="V47" s="72"/>
      <c r="W47" s="77" t="str">
        <f t="shared" si="6"/>
      </c>
      <c r="X47" s="74" t="str">
        <f t="shared" si="7"/>
      </c>
      <c r="Y47" s="75" t="str">
        <f t="shared" si="8"/>
      </c>
      <c r="Z47" s="78" t="str">
        <f t="shared" si="9"/>
      </c>
      <c r="AA47" s="90" t="str">
        <f t="shared" si="10"/>
      </c>
      <c r="AB47" s="91" t="str">
        <f t="shared" si="11"/>
      </c>
      <c r="AC47" s="81" t="str">
        <f t="array" ref="AC47">IF(AB47="","",IFERROR(INDEX(HELPER!$D$8:$D$48,IF(AB47&gt;=HELPER!$B$8,1,MATCH(AB47,HELPER!$B$8:$B$48,-1)+1)),""))</f>
      </c>
      <c r="AD47" s="82" t="str">
        <f>IF(AC47="","",IFERROR(VLOOKUP(AC47,HELPER!$F$8:$G$48,2,FALSE),""))</f>
      </c>
      <c r="AE47" s="3"/>
      <c r="AF47" s="4"/>
    </row>
    <row r="48" spans="1:32" ht="15" customHeight="1" x14ac:dyDescent="0.15">
      <c r="A48" s="3"/>
      <c r="B48" s="98">
        <v>31</v>
      </c>
      <c r="C48" s="184" t="str">
        <f>IF('INPUT DATA'!K41="","",'INPUT DATA'!K41)</f>
      </c>
      <c r="D48" s="185"/>
      <c r="E48" s="186"/>
      <c r="F48" s="70"/>
      <c r="G48" s="71"/>
      <c r="H48" s="71"/>
      <c r="I48" s="71"/>
      <c r="J48" s="72"/>
      <c r="K48" s="73" t="str">
        <f t="shared" si="0"/>
      </c>
      <c r="L48" s="74" t="str">
        <f t="shared" si="1"/>
      </c>
      <c r="M48" s="89" t="str">
        <f t="shared" si="2"/>
      </c>
      <c r="N48" s="70"/>
      <c r="O48" s="71"/>
      <c r="P48" s="72"/>
      <c r="Q48" s="73" t="str">
        <f t="shared" si="3"/>
      </c>
      <c r="R48" s="74" t="str">
        <f t="shared" si="4"/>
      </c>
      <c r="S48" s="89" t="str">
        <f t="shared" si="5"/>
      </c>
      <c r="T48" s="70"/>
      <c r="U48" s="71"/>
      <c r="V48" s="72"/>
      <c r="W48" s="77" t="str">
        <f t="shared" si="6"/>
      </c>
      <c r="X48" s="74" t="str">
        <f t="shared" si="7"/>
      </c>
      <c r="Y48" s="75" t="str">
        <f t="shared" si="8"/>
      </c>
      <c r="Z48" s="78" t="str">
        <f t="shared" si="9"/>
      </c>
      <c r="AA48" s="90" t="str">
        <f t="shared" si="10"/>
      </c>
      <c r="AB48" s="91" t="str">
        <f t="shared" si="11"/>
      </c>
      <c r="AC48" s="81" t="str">
        <f t="array" ref="AC48">IF(AB48="","",IFERROR(INDEX(HELPER!$D$8:$D$48,IF(AB48&gt;=HELPER!$B$8,1,MATCH(AB48,HELPER!$B$8:$B$48,-1)+1)),""))</f>
      </c>
      <c r="AD48" s="82" t="str">
        <f>IF(AC48="","",IFERROR(VLOOKUP(AC48,HELPER!$F$8:$G$48,2,FALSE),""))</f>
      </c>
      <c r="AE48" s="3"/>
      <c r="AF48" s="4"/>
    </row>
    <row r="49" spans="1:32" ht="15" customHeight="1" x14ac:dyDescent="0.15">
      <c r="A49" s="3"/>
      <c r="B49" s="98">
        <v>32</v>
      </c>
      <c r="C49" s="184" t="str">
        <f>IF('INPUT DATA'!K42="","",'INPUT DATA'!K42)</f>
      </c>
      <c r="D49" s="185"/>
      <c r="E49" s="186"/>
      <c r="F49" s="70"/>
      <c r="G49" s="71"/>
      <c r="H49" s="71"/>
      <c r="I49" s="71"/>
      <c r="J49" s="72"/>
      <c r="K49" s="73" t="str">
        <f t="shared" si="0"/>
      </c>
      <c r="L49" s="74" t="str">
        <f t="shared" si="1"/>
      </c>
      <c r="M49" s="89" t="str">
        <f t="shared" si="2"/>
      </c>
      <c r="N49" s="70"/>
      <c r="O49" s="71"/>
      <c r="P49" s="72"/>
      <c r="Q49" s="73" t="str">
        <f t="shared" si="3"/>
      </c>
      <c r="R49" s="74" t="str">
        <f t="shared" si="4"/>
      </c>
      <c r="S49" s="89" t="str">
        <f t="shared" si="5"/>
      </c>
      <c r="T49" s="70"/>
      <c r="U49" s="71"/>
      <c r="V49" s="72"/>
      <c r="W49" s="77" t="str">
        <f t="shared" si="6"/>
      </c>
      <c r="X49" s="74" t="str">
        <f t="shared" si="7"/>
      </c>
      <c r="Y49" s="75" t="str">
        <f t="shared" si="8"/>
      </c>
      <c r="Z49" s="78" t="str">
        <f t="shared" si="9"/>
      </c>
      <c r="AA49" s="90" t="str">
        <f t="shared" si="10"/>
      </c>
      <c r="AB49" s="91" t="str">
        <f t="shared" si="11"/>
      </c>
      <c r="AC49" s="81" t="str">
        <f t="array" ref="AC49">IF(AB49="","",IFERROR(INDEX(HELPER!$D$8:$D$48,IF(AB49&gt;=HELPER!$B$8,1,MATCH(AB49,HELPER!$B$8:$B$48,-1)+1)),""))</f>
      </c>
      <c r="AD49" s="82" t="str">
        <f>IF(AC49="","",IFERROR(VLOOKUP(AC49,HELPER!$F$8:$G$48,2,FALSE),""))</f>
      </c>
      <c r="AE49" s="3"/>
      <c r="AF49" s="4"/>
    </row>
    <row r="50" spans="1:32" ht="15" customHeight="1" x14ac:dyDescent="0.15">
      <c r="A50" s="3"/>
      <c r="B50" s="98">
        <v>33</v>
      </c>
      <c r="C50" s="184" t="str">
        <f>IF('INPUT DATA'!K43="","",'INPUT DATA'!K43)</f>
      </c>
      <c r="D50" s="185"/>
      <c r="E50" s="186"/>
      <c r="F50" s="70"/>
      <c r="G50" s="71"/>
      <c r="H50" s="71"/>
      <c r="I50" s="71"/>
      <c r="J50" s="72"/>
      <c r="K50" s="73" t="str">
        <f t="shared" si="0"/>
      </c>
      <c r="L50" s="74" t="str">
        <f t="shared" si="1"/>
      </c>
      <c r="M50" s="89" t="str">
        <f t="shared" si="2"/>
      </c>
      <c r="N50" s="70"/>
      <c r="O50" s="71"/>
      <c r="P50" s="72"/>
      <c r="Q50" s="73" t="str">
        <f t="shared" si="3"/>
      </c>
      <c r="R50" s="74" t="str">
        <f t="shared" si="4"/>
      </c>
      <c r="S50" s="89" t="str">
        <f t="shared" si="5"/>
      </c>
      <c r="T50" s="70"/>
      <c r="U50" s="71"/>
      <c r="V50" s="72"/>
      <c r="W50" s="77" t="str">
        <f t="shared" si="6"/>
      </c>
      <c r="X50" s="74" t="str">
        <f t="shared" si="7"/>
      </c>
      <c r="Y50" s="75" t="str">
        <f t="shared" si="8"/>
      </c>
      <c r="Z50" s="78" t="str">
        <f t="shared" si="9"/>
      </c>
      <c r="AA50" s="90" t="str">
        <f t="shared" si="10"/>
      </c>
      <c r="AB50" s="91" t="str">
        <f t="shared" si="11"/>
      </c>
      <c r="AC50" s="81" t="str">
        <f t="array" ref="AC50">IF(AB50="","",IFERROR(INDEX(HELPER!$D$8:$D$48,IF(AB50&gt;=HELPER!$B$8,1,MATCH(AB50,HELPER!$B$8:$B$48,-1)+1)),""))</f>
      </c>
      <c r="AD50" s="82" t="str">
        <f>IF(AC50="","",IFERROR(VLOOKUP(AC50,HELPER!$F$8:$G$48,2,FALSE),""))</f>
      </c>
      <c r="AE50" s="3"/>
      <c r="AF50" s="4"/>
    </row>
    <row r="51" spans="1:32" ht="15" customHeight="1" x14ac:dyDescent="0.15">
      <c r="A51" s="3"/>
      <c r="B51" s="98">
        <v>34</v>
      </c>
      <c r="C51" s="184" t="str">
        <f>IF('INPUT DATA'!K44="","",'INPUT DATA'!K44)</f>
      </c>
      <c r="D51" s="185"/>
      <c r="E51" s="186"/>
      <c r="F51" s="70"/>
      <c r="G51" s="71"/>
      <c r="H51" s="71"/>
      <c r="I51" s="71"/>
      <c r="J51" s="72"/>
      <c r="K51" s="73" t="str">
        <f t="shared" si="0"/>
      </c>
      <c r="L51" s="74" t="str">
        <f t="shared" si="1"/>
      </c>
      <c r="M51" s="89" t="str">
        <f t="shared" si="2"/>
      </c>
      <c r="N51" s="70"/>
      <c r="O51" s="71"/>
      <c r="P51" s="72"/>
      <c r="Q51" s="73" t="str">
        <f t="shared" si="3"/>
      </c>
      <c r="R51" s="74" t="str">
        <f t="shared" si="4"/>
      </c>
      <c r="S51" s="89" t="str">
        <f t="shared" si="5"/>
      </c>
      <c r="T51" s="70"/>
      <c r="U51" s="71"/>
      <c r="V51" s="72"/>
      <c r="W51" s="77" t="str">
        <f t="shared" si="6"/>
      </c>
      <c r="X51" s="74" t="str">
        <f t="shared" si="7"/>
      </c>
      <c r="Y51" s="75" t="str">
        <f t="shared" si="8"/>
      </c>
      <c r="Z51" s="78" t="str">
        <f t="shared" si="9"/>
      </c>
      <c r="AA51" s="90" t="str">
        <f t="shared" si="10"/>
      </c>
      <c r="AB51" s="91" t="str">
        <f t="shared" si="11"/>
      </c>
      <c r="AC51" s="81" t="str">
        <f t="array" ref="AC51">IF(AB51="","",IFERROR(INDEX(HELPER!$D$8:$D$48,IF(AB51&gt;=HELPER!$B$8,1,MATCH(AB51,HELPER!$B$8:$B$48,-1)+1)),""))</f>
      </c>
      <c r="AD51" s="82" t="str">
        <f>IF(AC51="","",IFERROR(VLOOKUP(AC51,HELPER!$F$8:$G$48,2,FALSE),""))</f>
      </c>
      <c r="AE51" s="3"/>
      <c r="AF51" s="4"/>
    </row>
    <row r="52" spans="1:32" ht="15" customHeight="1" x14ac:dyDescent="0.15">
      <c r="A52" s="3"/>
      <c r="B52" s="98">
        <v>35</v>
      </c>
      <c r="C52" s="184" t="str">
        <f>IF('INPUT DATA'!K45="","",'INPUT DATA'!K45)</f>
      </c>
      <c r="D52" s="185"/>
      <c r="E52" s="186"/>
      <c r="F52" s="70"/>
      <c r="G52" s="71"/>
      <c r="H52" s="71"/>
      <c r="I52" s="71"/>
      <c r="J52" s="72"/>
      <c r="K52" s="73" t="str">
        <f t="shared" si="0"/>
      </c>
      <c r="L52" s="74" t="str">
        <f t="shared" si="1"/>
      </c>
      <c r="M52" s="89" t="str">
        <f t="shared" si="2"/>
      </c>
      <c r="N52" s="70"/>
      <c r="O52" s="71"/>
      <c r="P52" s="72"/>
      <c r="Q52" s="73" t="str">
        <f t="shared" si="3"/>
      </c>
      <c r="R52" s="74" t="str">
        <f t="shared" si="4"/>
      </c>
      <c r="S52" s="89" t="str">
        <f t="shared" si="5"/>
      </c>
      <c r="T52" s="70"/>
      <c r="U52" s="71"/>
      <c r="V52" s="72"/>
      <c r="W52" s="77" t="str">
        <f t="shared" si="6"/>
      </c>
      <c r="X52" s="74" t="str">
        <f t="shared" si="7"/>
      </c>
      <c r="Y52" s="75" t="str">
        <f t="shared" si="8"/>
      </c>
      <c r="Z52" s="78" t="str">
        <f t="shared" si="9"/>
      </c>
      <c r="AA52" s="90" t="str">
        <f t="shared" si="10"/>
      </c>
      <c r="AB52" s="91" t="str">
        <f t="shared" si="11"/>
      </c>
      <c r="AC52" s="81" t="str">
        <f t="array" ref="AC52">IF(AB52="","",IFERROR(INDEX(HELPER!$D$8:$D$48,IF(AB52&gt;=HELPER!$B$8,1,MATCH(AB52,HELPER!$B$8:$B$48,-1)+1)),""))</f>
      </c>
      <c r="AD52" s="82" t="str">
        <f>IF(AC52="","",IFERROR(VLOOKUP(AC52,HELPER!$F$8:$G$48,2,FALSE),""))</f>
      </c>
      <c r="AE52" s="3"/>
      <c r="AF52" s="4"/>
    </row>
    <row r="53" spans="1:32" ht="15" customHeight="1" x14ac:dyDescent="0.15">
      <c r="A53" s="3"/>
      <c r="B53" s="98">
        <v>36</v>
      </c>
      <c r="C53" s="184" t="str">
        <f>IF('INPUT DATA'!K46="","",'INPUT DATA'!K46)</f>
      </c>
      <c r="D53" s="185"/>
      <c r="E53" s="186"/>
      <c r="F53" s="70"/>
      <c r="G53" s="71"/>
      <c r="H53" s="71"/>
      <c r="I53" s="71"/>
      <c r="J53" s="72"/>
      <c r="K53" s="73" t="str">
        <f t="shared" si="0"/>
      </c>
      <c r="L53" s="74" t="str">
        <f t="shared" si="1"/>
      </c>
      <c r="M53" s="89" t="str">
        <f t="shared" si="2"/>
      </c>
      <c r="N53" s="70"/>
      <c r="O53" s="71"/>
      <c r="P53" s="72"/>
      <c r="Q53" s="73" t="str">
        <f t="shared" si="3"/>
      </c>
      <c r="R53" s="74" t="str">
        <f t="shared" si="4"/>
      </c>
      <c r="S53" s="89" t="str">
        <f t="shared" si="5"/>
      </c>
      <c r="T53" s="70"/>
      <c r="U53" s="71"/>
      <c r="V53" s="72"/>
      <c r="W53" s="77" t="str">
        <f t="shared" si="6"/>
      </c>
      <c r="X53" s="74" t="str">
        <f t="shared" si="7"/>
      </c>
      <c r="Y53" s="75" t="str">
        <f t="shared" si="8"/>
      </c>
      <c r="Z53" s="78" t="str">
        <f t="shared" si="9"/>
      </c>
      <c r="AA53" s="90" t="str">
        <f t="shared" si="10"/>
      </c>
      <c r="AB53" s="91" t="str">
        <f t="shared" si="11"/>
      </c>
      <c r="AC53" s="81" t="str">
        <f t="array" ref="AC53">IF(AB53="","",IFERROR(INDEX(HELPER!$D$8:$D$48,IF(AB53&gt;=HELPER!$B$8,1,MATCH(AB53,HELPER!$B$8:$B$48,-1)+1)),""))</f>
      </c>
      <c r="AD53" s="82" t="str">
        <f>IF(AC53="","",IFERROR(VLOOKUP(AC53,HELPER!$F$8:$G$48,2,FALSE),""))</f>
      </c>
      <c r="AE53" s="3"/>
      <c r="AF53" s="4"/>
    </row>
    <row r="54" spans="1:32" ht="15" customHeight="1" x14ac:dyDescent="0.15">
      <c r="A54" s="3"/>
      <c r="B54" s="98">
        <v>37</v>
      </c>
      <c r="C54" s="184" t="str">
        <f>IF('INPUT DATA'!K47="","",'INPUT DATA'!K47)</f>
      </c>
      <c r="D54" s="185"/>
      <c r="E54" s="186"/>
      <c r="F54" s="70"/>
      <c r="G54" s="71"/>
      <c r="H54" s="71"/>
      <c r="I54" s="71"/>
      <c r="J54" s="72"/>
      <c r="K54" s="73" t="str">
        <f t="shared" si="0"/>
      </c>
      <c r="L54" s="74" t="str">
        <f t="shared" si="1"/>
      </c>
      <c r="M54" s="89" t="str">
        <f t="shared" si="2"/>
      </c>
      <c r="N54" s="70"/>
      <c r="O54" s="71"/>
      <c r="P54" s="72"/>
      <c r="Q54" s="73" t="str">
        <f t="shared" si="3"/>
      </c>
      <c r="R54" s="74" t="str">
        <f t="shared" si="4"/>
      </c>
      <c r="S54" s="89" t="str">
        <f t="shared" si="5"/>
      </c>
      <c r="T54" s="70"/>
      <c r="U54" s="71"/>
      <c r="V54" s="72"/>
      <c r="W54" s="77" t="str">
        <f t="shared" si="6"/>
      </c>
      <c r="X54" s="74" t="str">
        <f t="shared" si="7"/>
      </c>
      <c r="Y54" s="75" t="str">
        <f t="shared" si="8"/>
      </c>
      <c r="Z54" s="78" t="str">
        <f t="shared" si="9"/>
      </c>
      <c r="AA54" s="90" t="str">
        <f t="shared" si="10"/>
      </c>
      <c r="AB54" s="91" t="str">
        <f t="shared" si="11"/>
      </c>
      <c r="AC54" s="81" t="str">
        <f t="array" ref="AC54">IF(AB54="","",IFERROR(INDEX(HELPER!$D$8:$D$48,IF(AB54&gt;=HELPER!$B$8,1,MATCH(AB54,HELPER!$B$8:$B$48,-1)+1)),""))</f>
      </c>
      <c r="AD54" s="82" t="str">
        <f>IF(AC54="","",IFERROR(VLOOKUP(AC54,HELPER!$F$8:$G$48,2,FALSE),""))</f>
      </c>
      <c r="AE54" s="3"/>
      <c r="AF54" s="4"/>
    </row>
    <row r="55" spans="1:32" ht="15" customHeight="1" x14ac:dyDescent="0.15">
      <c r="A55" s="3"/>
      <c r="B55" s="98">
        <v>38</v>
      </c>
      <c r="C55" s="184" t="str">
        <f>IF('INPUT DATA'!K48="","",'INPUT DATA'!K48)</f>
      </c>
      <c r="D55" s="185"/>
      <c r="E55" s="186"/>
      <c r="F55" s="70"/>
      <c r="G55" s="71"/>
      <c r="H55" s="71"/>
      <c r="I55" s="71"/>
      <c r="J55" s="72"/>
      <c r="K55" s="73" t="str">
        <f t="shared" si="0"/>
      </c>
      <c r="L55" s="74" t="str">
        <f t="shared" si="1"/>
      </c>
      <c r="M55" s="89" t="str">
        <f t="shared" si="2"/>
      </c>
      <c r="N55" s="70"/>
      <c r="O55" s="71"/>
      <c r="P55" s="72"/>
      <c r="Q55" s="73" t="str">
        <f t="shared" si="3"/>
      </c>
      <c r="R55" s="74" t="str">
        <f t="shared" si="4"/>
      </c>
      <c r="S55" s="89" t="str">
        <f t="shared" si="5"/>
      </c>
      <c r="T55" s="70"/>
      <c r="U55" s="71"/>
      <c r="V55" s="72"/>
      <c r="W55" s="77" t="str">
        <f t="shared" si="6"/>
      </c>
      <c r="X55" s="74" t="str">
        <f t="shared" si="7"/>
      </c>
      <c r="Y55" s="75" t="str">
        <f t="shared" si="8"/>
      </c>
      <c r="Z55" s="78" t="str">
        <f t="shared" si="9"/>
      </c>
      <c r="AA55" s="90" t="str">
        <f t="shared" si="10"/>
      </c>
      <c r="AB55" s="91" t="str">
        <f t="shared" si="11"/>
      </c>
      <c r="AC55" s="81" t="str">
        <f t="array" ref="AC55">IF(AB55="","",IFERROR(INDEX(HELPER!$D$8:$D$48,IF(AB55&gt;=HELPER!$B$8,1,MATCH(AB55,HELPER!$B$8:$B$48,-1)+1)),""))</f>
      </c>
      <c r="AD55" s="82" t="str">
        <f>IF(AC55="","",IFERROR(VLOOKUP(AC55,HELPER!$F$8:$G$48,2,FALSE),""))</f>
      </c>
      <c r="AE55" s="3"/>
      <c r="AF55" s="4"/>
    </row>
    <row r="56" spans="1:32" ht="15" customHeight="1" x14ac:dyDescent="0.15">
      <c r="A56" s="3"/>
      <c r="B56" s="98">
        <v>39</v>
      </c>
      <c r="C56" s="184" t="str">
        <f>IF('INPUT DATA'!K49="","",'INPUT DATA'!K49)</f>
      </c>
      <c r="D56" s="185"/>
      <c r="E56" s="186"/>
      <c r="F56" s="70"/>
      <c r="G56" s="71"/>
      <c r="H56" s="71"/>
      <c r="I56" s="71"/>
      <c r="J56" s="72"/>
      <c r="K56" s="73" t="str">
        <f t="shared" si="0"/>
      </c>
      <c r="L56" s="74" t="str">
        <f t="shared" si="1"/>
      </c>
      <c r="M56" s="89" t="str">
        <f t="shared" si="2"/>
      </c>
      <c r="N56" s="70"/>
      <c r="O56" s="71"/>
      <c r="P56" s="72"/>
      <c r="Q56" s="73" t="str">
        <f t="shared" si="3"/>
      </c>
      <c r="R56" s="74" t="str">
        <f t="shared" si="4"/>
      </c>
      <c r="S56" s="89" t="str">
        <f t="shared" si="5"/>
      </c>
      <c r="T56" s="70"/>
      <c r="U56" s="71"/>
      <c r="V56" s="72"/>
      <c r="W56" s="77" t="str">
        <f t="shared" si="6"/>
      </c>
      <c r="X56" s="74" t="str">
        <f t="shared" si="7"/>
      </c>
      <c r="Y56" s="75" t="str">
        <f t="shared" si="8"/>
      </c>
      <c r="Z56" s="78" t="str">
        <f t="shared" si="9"/>
      </c>
      <c r="AA56" s="90" t="str">
        <f t="shared" si="10"/>
      </c>
      <c r="AB56" s="91" t="str">
        <f t="shared" si="11"/>
      </c>
      <c r="AC56" s="81" t="str">
        <f t="array" ref="AC56">IF(AB56="","",IFERROR(INDEX(HELPER!$D$8:$D$48,IF(AB56&gt;=HELPER!$B$8,1,MATCH(AB56,HELPER!$B$8:$B$48,-1)+1)),""))</f>
      </c>
      <c r="AD56" s="82" t="str">
        <f>IF(AC56="","",IFERROR(VLOOKUP(AC56,HELPER!$F$8:$G$48,2,FALSE),""))</f>
      </c>
      <c r="AE56" s="3"/>
      <c r="AF56" s="4"/>
    </row>
    <row r="57" spans="1:32" ht="15" customHeight="1" x14ac:dyDescent="0.15">
      <c r="A57" s="3"/>
      <c r="B57" s="98">
        <v>40</v>
      </c>
      <c r="C57" s="184" t="str">
        <f>IF('INPUT DATA'!K50="","",'INPUT DATA'!K50)</f>
      </c>
      <c r="D57" s="185"/>
      <c r="E57" s="186"/>
      <c r="F57" s="70"/>
      <c r="G57" s="71"/>
      <c r="H57" s="71"/>
      <c r="I57" s="71"/>
      <c r="J57" s="72"/>
      <c r="K57" s="73" t="str">
        <f t="shared" si="0"/>
      </c>
      <c r="L57" s="74" t="str">
        <f t="shared" si="1"/>
      </c>
      <c r="M57" s="89" t="str">
        <f t="shared" si="2"/>
      </c>
      <c r="N57" s="70"/>
      <c r="O57" s="71"/>
      <c r="P57" s="72"/>
      <c r="Q57" s="73" t="str">
        <f t="shared" si="3"/>
      </c>
      <c r="R57" s="74" t="str">
        <f t="shared" si="4"/>
      </c>
      <c r="S57" s="89" t="str">
        <f t="shared" si="5"/>
      </c>
      <c r="T57" s="70"/>
      <c r="U57" s="71"/>
      <c r="V57" s="72"/>
      <c r="W57" s="77" t="str">
        <f t="shared" si="6"/>
      </c>
      <c r="X57" s="74" t="str">
        <f t="shared" si="7"/>
      </c>
      <c r="Y57" s="75" t="str">
        <f t="shared" si="8"/>
      </c>
      <c r="Z57" s="78" t="str">
        <f t="shared" si="9"/>
      </c>
      <c r="AA57" s="90" t="str">
        <f t="shared" si="10"/>
      </c>
      <c r="AB57" s="91" t="str">
        <f t="shared" si="11"/>
      </c>
      <c r="AC57" s="81" t="str">
        <f t="array" ref="AC57">IF(AB57="","",IFERROR(INDEX(HELPER!$D$8:$D$48,IF(AB57&gt;=HELPER!$B$8,1,MATCH(AB57,HELPER!$B$8:$B$48,-1)+1)),""))</f>
      </c>
      <c r="AD57" s="82" t="str">
        <f>IF(AC57="","",IFERROR(VLOOKUP(AC57,HELPER!$F$8:$G$48,2,FALSE),""))</f>
      </c>
      <c r="AE57" s="3"/>
      <c r="AF57" s="4"/>
    </row>
    <row r="58" spans="1:32" ht="15" customHeight="1" x14ac:dyDescent="0.15">
      <c r="A58" s="3"/>
      <c r="B58" s="98">
        <v>41</v>
      </c>
      <c r="C58" s="184" t="str">
        <f>IF('INPUT DATA'!K51="","",'INPUT DATA'!K51)</f>
      </c>
      <c r="D58" s="185"/>
      <c r="E58" s="186"/>
      <c r="F58" s="70"/>
      <c r="G58" s="71"/>
      <c r="H58" s="71"/>
      <c r="I58" s="71"/>
      <c r="J58" s="72"/>
      <c r="K58" s="73" t="str">
        <f t="shared" si="0"/>
      </c>
      <c r="L58" s="74" t="str">
        <f t="shared" si="1"/>
      </c>
      <c r="M58" s="89" t="str">
        <f t="shared" si="2"/>
      </c>
      <c r="N58" s="70"/>
      <c r="O58" s="71"/>
      <c r="P58" s="72"/>
      <c r="Q58" s="73" t="str">
        <f t="shared" si="3"/>
      </c>
      <c r="R58" s="74" t="str">
        <f t="shared" si="4"/>
      </c>
      <c r="S58" s="89" t="str">
        <f t="shared" si="5"/>
      </c>
      <c r="T58" s="70"/>
      <c r="U58" s="71"/>
      <c r="V58" s="72"/>
      <c r="W58" s="77" t="str">
        <f t="shared" si="6"/>
      </c>
      <c r="X58" s="74" t="str">
        <f t="shared" si="7"/>
      </c>
      <c r="Y58" s="75" t="str">
        <f t="shared" si="8"/>
      </c>
      <c r="Z58" s="78" t="str">
        <f t="shared" si="9"/>
      </c>
      <c r="AA58" s="90" t="str">
        <f t="shared" si="10"/>
      </c>
      <c r="AB58" s="91" t="str">
        <f t="shared" si="11"/>
      </c>
      <c r="AC58" s="81" t="str">
        <f t="array" ref="AC58">IF(AB58="","",IFERROR(INDEX(HELPER!$D$8:$D$48,IF(AB58&gt;=HELPER!$B$8,1,MATCH(AB58,HELPER!$B$8:$B$48,-1)+1)),""))</f>
      </c>
      <c r="AD58" s="82" t="str">
        <f>IF(AC58="","",IFERROR(VLOOKUP(AC58,HELPER!$F$8:$G$48,2,FALSE),""))</f>
      </c>
      <c r="AE58" s="3"/>
      <c r="AF58" s="4"/>
    </row>
    <row r="59" spans="1:32" ht="15" customHeight="1" x14ac:dyDescent="0.15">
      <c r="A59" s="3"/>
      <c r="B59" s="98">
        <v>42</v>
      </c>
      <c r="C59" s="184" t="str">
        <f>IF('INPUT DATA'!K52="","",'INPUT DATA'!K52)</f>
      </c>
      <c r="D59" s="185"/>
      <c r="E59" s="186"/>
      <c r="F59" s="70"/>
      <c r="G59" s="71"/>
      <c r="H59" s="71"/>
      <c r="I59" s="71"/>
      <c r="J59" s="72"/>
      <c r="K59" s="73" t="str">
        <f t="shared" si="0"/>
      </c>
      <c r="L59" s="74" t="str">
        <f t="shared" si="1"/>
      </c>
      <c r="M59" s="89" t="str">
        <f t="shared" si="2"/>
      </c>
      <c r="N59" s="70"/>
      <c r="O59" s="71"/>
      <c r="P59" s="72"/>
      <c r="Q59" s="73" t="str">
        <f t="shared" si="3"/>
      </c>
      <c r="R59" s="74" t="str">
        <f t="shared" si="4"/>
      </c>
      <c r="S59" s="89" t="str">
        <f t="shared" si="5"/>
      </c>
      <c r="T59" s="70"/>
      <c r="U59" s="71"/>
      <c r="V59" s="72"/>
      <c r="W59" s="77" t="str">
        <f t="shared" si="6"/>
      </c>
      <c r="X59" s="74" t="str">
        <f t="shared" si="7"/>
      </c>
      <c r="Y59" s="75" t="str">
        <f t="shared" si="8"/>
      </c>
      <c r="Z59" s="78" t="str">
        <f t="shared" si="9"/>
      </c>
      <c r="AA59" s="90" t="str">
        <f t="shared" si="10"/>
      </c>
      <c r="AB59" s="91" t="str">
        <f t="shared" si="11"/>
      </c>
      <c r="AC59" s="81" t="str">
        <f t="array" ref="AC59">IF(AB59="","",IFERROR(INDEX(HELPER!$D$8:$D$48,IF(AB59&gt;=HELPER!$B$8,1,MATCH(AB59,HELPER!$B$8:$B$48,-1)+1)),""))</f>
      </c>
      <c r="AD59" s="82" t="str">
        <f>IF(AC59="","",IFERROR(VLOOKUP(AC59,HELPER!$F$8:$G$48,2,FALSE),""))</f>
      </c>
      <c r="AE59" s="3"/>
      <c r="AF59" s="4"/>
    </row>
    <row r="60" spans="1:32" ht="15" customHeight="1" x14ac:dyDescent="0.15">
      <c r="A60" s="3"/>
      <c r="B60" s="98">
        <v>43</v>
      </c>
      <c r="C60" s="184" t="str">
        <f>IF('INPUT DATA'!K53="","",'INPUT DATA'!K53)</f>
      </c>
      <c r="D60" s="185"/>
      <c r="E60" s="186"/>
      <c r="F60" s="70"/>
      <c r="G60" s="71"/>
      <c r="H60" s="71"/>
      <c r="I60" s="71"/>
      <c r="J60" s="72"/>
      <c r="K60" s="73" t="str">
        <f t="shared" si="0"/>
      </c>
      <c r="L60" s="74" t="str">
        <f t="shared" si="1"/>
      </c>
      <c r="M60" s="89" t="str">
        <f t="shared" si="2"/>
      </c>
      <c r="N60" s="70"/>
      <c r="O60" s="71"/>
      <c r="P60" s="72"/>
      <c r="Q60" s="73" t="str">
        <f t="shared" si="3"/>
      </c>
      <c r="R60" s="74" t="str">
        <f t="shared" si="4"/>
      </c>
      <c r="S60" s="89" t="str">
        <f t="shared" si="5"/>
      </c>
      <c r="T60" s="70"/>
      <c r="U60" s="71"/>
      <c r="V60" s="72"/>
      <c r="W60" s="77" t="str">
        <f t="shared" si="6"/>
      </c>
      <c r="X60" s="74" t="str">
        <f t="shared" si="7"/>
      </c>
      <c r="Y60" s="75" t="str">
        <f t="shared" si="8"/>
      </c>
      <c r="Z60" s="78" t="str">
        <f t="shared" si="9"/>
      </c>
      <c r="AA60" s="90" t="str">
        <f t="shared" si="10"/>
      </c>
      <c r="AB60" s="91" t="str">
        <f t="shared" si="11"/>
      </c>
      <c r="AC60" s="81" t="str">
        <f t="array" ref="AC60">IF(AB60="","",IFERROR(INDEX(HELPER!$D$8:$D$48,IF(AB60&gt;=HELPER!$B$8,1,MATCH(AB60,HELPER!$B$8:$B$48,-1)+1)),""))</f>
      </c>
      <c r="AD60" s="82" t="str">
        <f>IF(AC60="","",IFERROR(VLOOKUP(AC60,HELPER!$F$8:$G$48,2,FALSE),""))</f>
      </c>
      <c r="AE60" s="3"/>
      <c r="AF60" s="4"/>
    </row>
    <row r="61" spans="1:32" ht="15" customHeight="1" x14ac:dyDescent="0.15">
      <c r="A61" s="3"/>
      <c r="B61" s="98">
        <v>44</v>
      </c>
      <c r="C61" s="184" t="str">
        <f>IF('INPUT DATA'!K54="","",'INPUT DATA'!K54)</f>
      </c>
      <c r="D61" s="185"/>
      <c r="E61" s="186"/>
      <c r="F61" s="70"/>
      <c r="G61" s="71"/>
      <c r="H61" s="71"/>
      <c r="I61" s="71"/>
      <c r="J61" s="72"/>
      <c r="K61" s="73" t="str">
        <f t="shared" si="0"/>
      </c>
      <c r="L61" s="74" t="str">
        <f t="shared" si="1"/>
      </c>
      <c r="M61" s="89" t="str">
        <f t="shared" si="2"/>
      </c>
      <c r="N61" s="70"/>
      <c r="O61" s="71"/>
      <c r="P61" s="72"/>
      <c r="Q61" s="73" t="str">
        <f t="shared" si="3"/>
      </c>
      <c r="R61" s="74" t="str">
        <f t="shared" si="4"/>
      </c>
      <c r="S61" s="89" t="str">
        <f t="shared" si="5"/>
      </c>
      <c r="T61" s="70"/>
      <c r="U61" s="71"/>
      <c r="V61" s="72"/>
      <c r="W61" s="77" t="str">
        <f t="shared" si="6"/>
      </c>
      <c r="X61" s="74" t="str">
        <f t="shared" si="7"/>
      </c>
      <c r="Y61" s="75" t="str">
        <f t="shared" si="8"/>
      </c>
      <c r="Z61" s="78" t="str">
        <f t="shared" si="9"/>
      </c>
      <c r="AA61" s="90" t="str">
        <f t="shared" si="10"/>
      </c>
      <c r="AB61" s="91" t="str">
        <f t="shared" si="11"/>
      </c>
      <c r="AC61" s="81" t="str">
        <f t="array" ref="AC61">IF(AB61="","",IFERROR(INDEX(HELPER!$D$8:$D$48,IF(AB61&gt;=HELPER!$B$8,1,MATCH(AB61,HELPER!$B$8:$B$48,-1)+1)),""))</f>
      </c>
      <c r="AD61" s="82" t="str">
        <f>IF(AC61="","",IFERROR(VLOOKUP(AC61,HELPER!$F$8:$G$48,2,FALSE),""))</f>
      </c>
      <c r="AE61" s="3"/>
      <c r="AF61" s="4"/>
    </row>
    <row r="62" spans="1:32" ht="15" customHeight="1" x14ac:dyDescent="0.15">
      <c r="A62" s="3"/>
      <c r="B62" s="98">
        <v>45</v>
      </c>
      <c r="C62" s="184" t="str">
        <f>IF('INPUT DATA'!K55="","",'INPUT DATA'!K55)</f>
      </c>
      <c r="D62" s="185"/>
      <c r="E62" s="186"/>
      <c r="F62" s="70"/>
      <c r="G62" s="71"/>
      <c r="H62" s="71"/>
      <c r="I62" s="71"/>
      <c r="J62" s="72"/>
      <c r="K62" s="73" t="str">
        <f t="shared" si="0"/>
      </c>
      <c r="L62" s="74" t="str">
        <f t="shared" si="1"/>
      </c>
      <c r="M62" s="89" t="str">
        <f t="shared" si="2"/>
      </c>
      <c r="N62" s="70"/>
      <c r="O62" s="71"/>
      <c r="P62" s="72"/>
      <c r="Q62" s="73" t="str">
        <f t="shared" si="3"/>
      </c>
      <c r="R62" s="74" t="str">
        <f t="shared" si="4"/>
      </c>
      <c r="S62" s="89" t="str">
        <f t="shared" si="5"/>
      </c>
      <c r="T62" s="70"/>
      <c r="U62" s="71"/>
      <c r="V62" s="72"/>
      <c r="W62" s="77" t="str">
        <f t="shared" si="6"/>
      </c>
      <c r="X62" s="74" t="str">
        <f t="shared" si="7"/>
      </c>
      <c r="Y62" s="75" t="str">
        <f t="shared" si="8"/>
      </c>
      <c r="Z62" s="78" t="str">
        <f t="shared" si="9"/>
      </c>
      <c r="AA62" s="90" t="str">
        <f t="shared" si="10"/>
      </c>
      <c r="AB62" s="91" t="str">
        <f t="shared" si="11"/>
      </c>
      <c r="AC62" s="81" t="str">
        <f t="array" ref="AC62">IF(AB62="","",IFERROR(INDEX(HELPER!$D$8:$D$48,IF(AB62&gt;=HELPER!$B$8,1,MATCH(AB62,HELPER!$B$8:$B$48,-1)+1)),""))</f>
      </c>
      <c r="AD62" s="82" t="str">
        <f>IF(AC62="","",IFERROR(VLOOKUP(AC62,HELPER!$F$8:$G$48,2,FALSE),""))</f>
      </c>
      <c r="AE62" s="3"/>
      <c r="AF62" s="4"/>
    </row>
    <row r="63" spans="1:32" ht="15" customHeight="1" x14ac:dyDescent="0.15">
      <c r="A63" s="3"/>
      <c r="B63" s="98">
        <v>46</v>
      </c>
      <c r="C63" s="184" t="str">
        <f>IF('INPUT DATA'!K56="","",'INPUT DATA'!K56)</f>
      </c>
      <c r="D63" s="185"/>
      <c r="E63" s="186"/>
      <c r="F63" s="70"/>
      <c r="G63" s="71"/>
      <c r="H63" s="71"/>
      <c r="I63" s="71"/>
      <c r="J63" s="72"/>
      <c r="K63" s="73" t="str">
        <f t="shared" si="0"/>
      </c>
      <c r="L63" s="74" t="str">
        <f t="shared" si="1"/>
      </c>
      <c r="M63" s="89" t="str">
        <f t="shared" si="2"/>
      </c>
      <c r="N63" s="70"/>
      <c r="O63" s="71"/>
      <c r="P63" s="72"/>
      <c r="Q63" s="73" t="str">
        <f t="shared" si="3"/>
      </c>
      <c r="R63" s="74" t="str">
        <f t="shared" si="4"/>
      </c>
      <c r="S63" s="89" t="str">
        <f t="shared" si="5"/>
      </c>
      <c r="T63" s="70"/>
      <c r="U63" s="71"/>
      <c r="V63" s="72"/>
      <c r="W63" s="77" t="str">
        <f t="shared" si="6"/>
      </c>
      <c r="X63" s="74" t="str">
        <f t="shared" si="7"/>
      </c>
      <c r="Y63" s="75" t="str">
        <f t="shared" si="8"/>
      </c>
      <c r="Z63" s="78" t="str">
        <f t="shared" si="9"/>
      </c>
      <c r="AA63" s="90" t="str">
        <f t="shared" si="10"/>
      </c>
      <c r="AB63" s="91" t="str">
        <f t="shared" si="11"/>
      </c>
      <c r="AC63" s="81" t="str">
        <f t="array" ref="AC63">IF(AB63="","",IFERROR(INDEX(HELPER!$D$8:$D$48,IF(AB63&gt;=HELPER!$B$8,1,MATCH(AB63,HELPER!$B$8:$B$48,-1)+1)),""))</f>
      </c>
      <c r="AD63" s="82" t="str">
        <f>IF(AC63="","",IFERROR(VLOOKUP(AC63,HELPER!$F$8:$G$48,2,FALSE),""))</f>
      </c>
      <c r="AE63" s="3"/>
      <c r="AF63" s="4"/>
    </row>
    <row r="64" spans="1:32" ht="15" customHeight="1" x14ac:dyDescent="0.15">
      <c r="A64" s="3"/>
      <c r="B64" s="98">
        <v>47</v>
      </c>
      <c r="C64" s="184" t="str">
        <f>IF('INPUT DATA'!K57="","",'INPUT DATA'!K57)</f>
      </c>
      <c r="D64" s="185"/>
      <c r="E64" s="186"/>
      <c r="F64" s="70"/>
      <c r="G64" s="71"/>
      <c r="H64" s="71"/>
      <c r="I64" s="71"/>
      <c r="J64" s="72"/>
      <c r="K64" s="73" t="str">
        <f t="shared" si="0"/>
      </c>
      <c r="L64" s="74" t="str">
        <f t="shared" si="1"/>
      </c>
      <c r="M64" s="89" t="str">
        <f t="shared" si="2"/>
      </c>
      <c r="N64" s="70"/>
      <c r="O64" s="71"/>
      <c r="P64" s="72"/>
      <c r="Q64" s="73" t="str">
        <f t="shared" si="3"/>
      </c>
      <c r="R64" s="74" t="str">
        <f t="shared" si="4"/>
      </c>
      <c r="S64" s="89" t="str">
        <f t="shared" si="5"/>
      </c>
      <c r="T64" s="70"/>
      <c r="U64" s="71"/>
      <c r="V64" s="72"/>
      <c r="W64" s="77" t="str">
        <f t="shared" si="6"/>
      </c>
      <c r="X64" s="74" t="str">
        <f t="shared" si="7"/>
      </c>
      <c r="Y64" s="75" t="str">
        <f t="shared" si="8"/>
      </c>
      <c r="Z64" s="78" t="str">
        <f t="shared" si="9"/>
      </c>
      <c r="AA64" s="90" t="str">
        <f t="shared" si="10"/>
      </c>
      <c r="AB64" s="91" t="str">
        <f t="shared" si="11"/>
      </c>
      <c r="AC64" s="81" t="str">
        <f t="array" ref="AC64">IF(AB64="","",IFERROR(INDEX(HELPER!$D$8:$D$48,IF(AB64&gt;=HELPER!$B$8,1,MATCH(AB64,HELPER!$B$8:$B$48,-1)+1)),""))</f>
      </c>
      <c r="AD64" s="82" t="str">
        <f>IF(AC64="","",IFERROR(VLOOKUP(AC64,HELPER!$F$8:$G$48,2,FALSE),""))</f>
      </c>
      <c r="AE64" s="3"/>
      <c r="AF64" s="4"/>
    </row>
    <row r="65" spans="1:32" ht="15" customHeight="1" x14ac:dyDescent="0.15">
      <c r="A65" s="3"/>
      <c r="B65" s="98">
        <v>48</v>
      </c>
      <c r="C65" s="184" t="str">
        <f>IF('INPUT DATA'!K58="","",'INPUT DATA'!K58)</f>
      </c>
      <c r="D65" s="185"/>
      <c r="E65" s="186"/>
      <c r="F65" s="70"/>
      <c r="G65" s="71"/>
      <c r="H65" s="71"/>
      <c r="I65" s="71"/>
      <c r="J65" s="72"/>
      <c r="K65" s="73" t="str">
        <f t="shared" si="0"/>
      </c>
      <c r="L65" s="74" t="str">
        <f t="shared" si="1"/>
      </c>
      <c r="M65" s="89" t="str">
        <f t="shared" si="2"/>
      </c>
      <c r="N65" s="70"/>
      <c r="O65" s="71"/>
      <c r="P65" s="72"/>
      <c r="Q65" s="73" t="str">
        <f t="shared" si="3"/>
      </c>
      <c r="R65" s="74" t="str">
        <f t="shared" si="4"/>
      </c>
      <c r="S65" s="89" t="str">
        <f t="shared" si="5"/>
      </c>
      <c r="T65" s="70"/>
      <c r="U65" s="71"/>
      <c r="V65" s="72"/>
      <c r="W65" s="77" t="str">
        <f t="shared" si="6"/>
      </c>
      <c r="X65" s="74" t="str">
        <f t="shared" si="7"/>
      </c>
      <c r="Y65" s="75" t="str">
        <f t="shared" si="8"/>
      </c>
      <c r="Z65" s="78" t="str">
        <f t="shared" si="9"/>
      </c>
      <c r="AA65" s="90" t="str">
        <f t="shared" si="10"/>
      </c>
      <c r="AB65" s="91" t="str">
        <f t="shared" si="11"/>
      </c>
      <c r="AC65" s="81" t="str">
        <f t="array" ref="AC65">IF(AB65="","",IFERROR(INDEX(HELPER!$D$8:$D$48,IF(AB65&gt;=HELPER!$B$8,1,MATCH(AB65,HELPER!$B$8:$B$48,-1)+1)),""))</f>
      </c>
      <c r="AD65" s="82" t="str">
        <f>IF(AC65="","",IFERROR(VLOOKUP(AC65,HELPER!$F$8:$G$48,2,FALSE),""))</f>
      </c>
      <c r="AE65" s="3"/>
      <c r="AF65" s="4"/>
    </row>
    <row r="66" spans="1:32" ht="15" customHeight="1" x14ac:dyDescent="0.15">
      <c r="A66" s="3"/>
      <c r="B66" s="98">
        <v>49</v>
      </c>
      <c r="C66" s="184" t="str">
        <f>IF('INPUT DATA'!K59="","",'INPUT DATA'!K59)</f>
      </c>
      <c r="D66" s="185"/>
      <c r="E66" s="186"/>
      <c r="F66" s="70"/>
      <c r="G66" s="71"/>
      <c r="H66" s="71"/>
      <c r="I66" s="71"/>
      <c r="J66" s="72"/>
      <c r="K66" s="73" t="str">
        <f t="shared" si="0"/>
      </c>
      <c r="L66" s="74" t="str">
        <f t="shared" si="1"/>
      </c>
      <c r="M66" s="89" t="str">
        <f t="shared" si="2"/>
      </c>
      <c r="N66" s="70"/>
      <c r="O66" s="71"/>
      <c r="P66" s="72"/>
      <c r="Q66" s="73" t="str">
        <f t="shared" si="3"/>
      </c>
      <c r="R66" s="74" t="str">
        <f t="shared" si="4"/>
      </c>
      <c r="S66" s="89" t="str">
        <f t="shared" si="5"/>
      </c>
      <c r="T66" s="70"/>
      <c r="U66" s="71"/>
      <c r="V66" s="72"/>
      <c r="W66" s="77" t="str">
        <f t="shared" si="6"/>
      </c>
      <c r="X66" s="74" t="str">
        <f t="shared" si="7"/>
      </c>
      <c r="Y66" s="75" t="str">
        <f t="shared" si="8"/>
      </c>
      <c r="Z66" s="78" t="str">
        <f t="shared" si="9"/>
      </c>
      <c r="AA66" s="90" t="str">
        <f t="shared" si="10"/>
      </c>
      <c r="AB66" s="91" t="str">
        <f t="shared" si="11"/>
      </c>
      <c r="AC66" s="81" t="str">
        <f t="array" ref="AC66">IF(AB66="","",IFERROR(INDEX(HELPER!$D$8:$D$48,IF(AB66&gt;=HELPER!$B$8,1,MATCH(AB66,HELPER!$B$8:$B$48,-1)+1)),""))</f>
      </c>
      <c r="AD66" s="82" t="str">
        <f>IF(AC66="","",IFERROR(VLOOKUP(AC66,HELPER!$F$8:$G$48,2,FALSE),""))</f>
      </c>
      <c r="AE66" s="3"/>
      <c r="AF66" s="4"/>
    </row>
    <row r="67" spans="1:32" ht="15" customHeight="1" x14ac:dyDescent="0.15">
      <c r="A67" s="3"/>
      <c r="B67" s="98">
        <v>50</v>
      </c>
      <c r="C67" s="184" t="str">
        <f>IF('INPUT DATA'!K60="","",'INPUT DATA'!K60)</f>
      </c>
      <c r="D67" s="185"/>
      <c r="E67" s="186"/>
      <c r="F67" s="112"/>
      <c r="G67" s="113"/>
      <c r="H67" s="113"/>
      <c r="I67" s="113"/>
      <c r="J67" s="114"/>
      <c r="K67" s="73" t="str">
        <f t="shared" si="0"/>
      </c>
      <c r="L67" s="74" t="str">
        <f t="shared" si="1"/>
      </c>
      <c r="M67" s="89" t="str">
        <f t="shared" si="2"/>
      </c>
      <c r="N67" s="112"/>
      <c r="O67" s="113"/>
      <c r="P67" s="114"/>
      <c r="Q67" s="73" t="str">
        <f t="shared" si="3"/>
      </c>
      <c r="R67" s="74" t="str">
        <f t="shared" si="4"/>
      </c>
      <c r="S67" s="89" t="str">
        <f t="shared" si="5"/>
      </c>
      <c r="T67" s="112"/>
      <c r="U67" s="113"/>
      <c r="V67" s="114"/>
      <c r="W67" s="77" t="str">
        <f t="shared" si="6"/>
      </c>
      <c r="X67" s="74" t="str">
        <f t="shared" si="7"/>
      </c>
      <c r="Y67" s="75" t="str">
        <f t="shared" si="8"/>
      </c>
      <c r="Z67" s="78" t="str">
        <f t="shared" si="9"/>
      </c>
      <c r="AA67" s="90" t="str">
        <f t="shared" si="10"/>
      </c>
      <c r="AB67" s="91" t="str">
        <f t="shared" si="11"/>
      </c>
      <c r="AC67" s="115" t="str">
        <f t="array" ref="AC67">IF(AB67="","",IFERROR(INDEX(HELPER!$D$8:$D$48,IF(AB67&gt;=HELPER!$B$8,1,MATCH(AB67,HELPER!$B$8:$B$48,-1)+1)),""))</f>
      </c>
      <c r="AD67" s="116" t="str">
        <f>IF(AC67="","",IFERROR(VLOOKUP(AC67,HELPER!$F$8:$G$48,2,FALSE),""))</f>
      </c>
      <c r="AE67" s="3"/>
      <c r="AF67" s="4"/>
    </row>
    <row r="68" spans="1:32" ht="15.75" customHeight="1" x14ac:dyDescent="0.15">
      <c r="A68" s="3"/>
      <c r="B68" s="187" t="s">
        <v>7</v>
      </c>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9"/>
      <c r="AE68" s="3"/>
      <c r="AF68" s="4"/>
    </row>
    <row r="69" spans="1:32" ht="15" customHeight="1" thickBot="1" x14ac:dyDescent="0.2">
      <c r="A69" s="3"/>
      <c r="B69" s="117">
        <v>1</v>
      </c>
      <c r="C69" s="178" t="str">
        <f>IF('INPUT DATA'!N11="","",'INPUT DATA'!N11)</f>
      </c>
      <c r="D69" s="179"/>
      <c r="E69" s="180"/>
      <c r="F69" s="54"/>
      <c r="G69" s="55"/>
      <c r="H69" s="55"/>
      <c r="I69" s="55"/>
      <c r="J69" s="56"/>
      <c r="K69" s="118">
        <f t="shared" ref="K69:K118" si="12">IF(COUNT($F69:$J69)=0,"",SUM($F69:$J69))</f>
      </c>
      <c r="L69" s="119">
        <f t="shared" ref="L69:L118" si="13">IF(COUNT(F69:J69)=0,"",IFERROR(K69/$K$15*$L$15,""))</f>
      </c>
      <c r="M69" s="120">
        <f t="shared" ref="M69:M118" si="14">IF(L69="","",L69*$M$15)</f>
      </c>
      <c r="N69" s="54"/>
      <c r="O69" s="55"/>
      <c r="P69" s="56"/>
      <c r="Q69" s="118">
        <f t="shared" ref="Q69:Q118" si="15">IF(COUNT(N69:P69)=0,"",SUM(N69:P69))</f>
      </c>
      <c r="R69" s="119">
        <f t="shared" ref="R69:R118" si="16">IF(COUNT(N69:P69)=0,"",IFERROR(Q69/$Q$15*$R$15,""))</f>
      </c>
      <c r="S69" s="120">
        <f t="shared" ref="S69:S118" si="17">IF(R69="","",R69*$S$15)</f>
      </c>
      <c r="T69" s="54"/>
      <c r="U69" s="55"/>
      <c r="V69" s="56"/>
      <c r="W69" s="121">
        <f t="shared" ref="W69:W118" si="18">IF(T69="","",IFERROR(T69/$T$15*$W$15,""))</f>
      </c>
      <c r="X69" s="119">
        <f t="shared" ref="X69:X118" si="19">IF(U69="","",IFERROR(U69/$U$15*$X$15,""))</f>
      </c>
      <c r="Y69" s="120">
        <f t="shared" ref="Y69:Y118" si="20">IF(V69="","",IFERROR(V69/$V$15*$Y$15,""))</f>
      </c>
      <c r="Z69" s="122">
        <f t="shared" ref="Z69:Z118" si="21">IF(COUNT(T69:V69)=0,"",SUM(W69:Y69))</f>
      </c>
      <c r="AA69" s="123">
        <f t="shared" ref="AA69:AA118" si="22">IF(Z69="","",Z69*$AA$15)</f>
      </c>
      <c r="AB69" s="124">
        <f t="shared" ref="AB69:AB118" si="23">IF(COUNT(F69:J69,N69:P69,T69:V69)=0,"",SUM(M69,S69,AA69))</f>
      </c>
      <c r="AC69" s="67">
        <f t="array" ref="AC69">IF(AB69="","",IFERROR(INDEX(HELPER!$D$8:$D$48,IF(AB69&gt;=HELPER!$B$8,1,MATCH(AB69,HELPER!$B$8:$B$48,-1)+1)),""))</f>
      </c>
      <c r="AD69" s="68" t="str">
        <f>IF(AC69="","",IFERROR(VLOOKUP(AC69,HELPER!$F$8:$G$48,2,FALSE),""))</f>
      </c>
      <c r="AE69" s="3"/>
      <c r="AF69" s="4"/>
    </row>
    <row r="70" spans="1:32" ht="15" customHeight="1" thickBot="1" x14ac:dyDescent="0.2">
      <c r="A70" s="3"/>
      <c r="B70" s="125">
        <v>2</v>
      </c>
      <c r="C70" s="181" t="str">
        <f>IF('INPUT DATA'!N12="","",'INPUT DATA'!N12)</f>
      </c>
      <c r="D70" s="182"/>
      <c r="E70" s="183"/>
      <c r="F70" s="54"/>
      <c r="G70" s="71"/>
      <c r="H70" s="71"/>
      <c r="I70" s="71"/>
      <c r="J70" s="72"/>
      <c r="K70" s="73">
        <f t="shared" si="12"/>
      </c>
      <c r="L70" s="74">
        <f t="shared" si="13"/>
      </c>
      <c r="M70" s="75">
        <f t="shared" si="14"/>
      </c>
      <c r="N70" s="70"/>
      <c r="O70" s="71"/>
      <c r="P70" s="72"/>
      <c r="Q70" s="73">
        <f t="shared" si="15"/>
      </c>
      <c r="R70" s="74">
        <f t="shared" si="16"/>
      </c>
      <c r="S70" s="75">
        <f t="shared" si="17"/>
      </c>
      <c r="T70" s="70"/>
      <c r="U70" s="71"/>
      <c r="V70" s="72"/>
      <c r="W70" s="77">
        <f t="shared" si="18"/>
      </c>
      <c r="X70" s="74">
        <f t="shared" si="19"/>
      </c>
      <c r="Y70" s="75">
        <f t="shared" si="20"/>
      </c>
      <c r="Z70" s="78">
        <f t="shared" si="21"/>
      </c>
      <c r="AA70" s="79">
        <f t="shared" si="22"/>
      </c>
      <c r="AB70" s="80">
        <f t="shared" si="23"/>
      </c>
      <c r="AC70" s="81">
        <f t="array" ref="AC70">IF(AB70="","",IFERROR(INDEX(HELPER!$D$8:$D$48,IF(AB70&gt;=HELPER!$B$8,1,MATCH(AB70,HELPER!$B$8:$B$48,-1)+1)),""))</f>
      </c>
      <c r="AD70" s="82" t="str">
        <f>IF(AC70="","",IFERROR(VLOOKUP(AC70,HELPER!$F$8:$G$48,2,FALSE),""))</f>
      </c>
      <c r="AE70" s="3"/>
      <c r="AF70" s="4"/>
    </row>
    <row r="71" spans="1:32" ht="15" customHeight="1" thickBot="1" x14ac:dyDescent="0.2">
      <c r="A71" s="3"/>
      <c r="B71" s="125">
        <v>3</v>
      </c>
      <c r="C71" s="181" t="str">
        <f>IF('INPUT DATA'!N13="","",'INPUT DATA'!N13)</f>
      </c>
      <c r="D71" s="182"/>
      <c r="E71" s="183"/>
      <c r="F71" s="54"/>
      <c r="G71" s="71"/>
      <c r="H71" s="71"/>
      <c r="I71" s="71"/>
      <c r="J71" s="72"/>
      <c r="K71" s="73">
        <f t="shared" si="12"/>
      </c>
      <c r="L71" s="74">
        <f t="shared" si="13"/>
      </c>
      <c r="M71" s="75">
        <f t="shared" si="14"/>
      </c>
      <c r="N71" s="70"/>
      <c r="O71" s="71"/>
      <c r="P71" s="72"/>
      <c r="Q71" s="73">
        <f t="shared" si="15"/>
      </c>
      <c r="R71" s="74">
        <f t="shared" si="16"/>
      </c>
      <c r="S71" s="75">
        <f t="shared" si="17"/>
      </c>
      <c r="T71" s="70"/>
      <c r="U71" s="71"/>
      <c r="V71" s="72"/>
      <c r="W71" s="77">
        <f t="shared" si="18"/>
      </c>
      <c r="X71" s="74">
        <f t="shared" si="19"/>
      </c>
      <c r="Y71" s="75">
        <f t="shared" si="20"/>
      </c>
      <c r="Z71" s="78">
        <f t="shared" si="21"/>
      </c>
      <c r="AA71" s="79">
        <f t="shared" si="22"/>
      </c>
      <c r="AB71" s="80">
        <f t="shared" si="23"/>
      </c>
      <c r="AC71" s="81">
        <f t="array" ref="AC71">IF(AB71="","",IFERROR(INDEX(HELPER!$D$8:$D$48,IF(AB71&gt;=HELPER!$B$8,1,MATCH(AB71,HELPER!$B$8:$B$48,-1)+1)),""))</f>
      </c>
      <c r="AD71" s="82" t="str">
        <f>IF(AC71="","",IFERROR(VLOOKUP(AC71,HELPER!$F$8:$G$48,2,FALSE),""))</f>
      </c>
      <c r="AE71" s="3"/>
      <c r="AF71" s="4"/>
    </row>
    <row r="72" spans="1:32" ht="15" customHeight="1" thickBot="1" x14ac:dyDescent="0.2">
      <c r="A72" s="3"/>
      <c r="B72" s="125">
        <v>4</v>
      </c>
      <c r="C72" s="181" t="str">
        <f>IF('INPUT DATA'!N14="","",'INPUT DATA'!N14)</f>
      </c>
      <c r="D72" s="182"/>
      <c r="E72" s="183"/>
      <c r="F72" s="54"/>
      <c r="G72" s="71"/>
      <c r="H72" s="71"/>
      <c r="I72" s="71"/>
      <c r="J72" s="72"/>
      <c r="K72" s="73">
        <f t="shared" si="12"/>
      </c>
      <c r="L72" s="74">
        <f t="shared" si="13"/>
      </c>
      <c r="M72" s="75">
        <f t="shared" si="14"/>
      </c>
      <c r="N72" s="70"/>
      <c r="O72" s="71"/>
      <c r="P72" s="72"/>
      <c r="Q72" s="73">
        <f t="shared" si="15"/>
      </c>
      <c r="R72" s="74">
        <f t="shared" si="16"/>
      </c>
      <c r="S72" s="75">
        <f t="shared" si="17"/>
      </c>
      <c r="T72" s="70"/>
      <c r="U72" s="71"/>
      <c r="V72" s="72"/>
      <c r="W72" s="77">
        <f t="shared" si="18"/>
      </c>
      <c r="X72" s="74">
        <f t="shared" si="19"/>
      </c>
      <c r="Y72" s="75">
        <f t="shared" si="20"/>
      </c>
      <c r="Z72" s="78">
        <f t="shared" si="21"/>
      </c>
      <c r="AA72" s="79">
        <f t="shared" si="22"/>
      </c>
      <c r="AB72" s="80">
        <f t="shared" si="23"/>
      </c>
      <c r="AC72" s="81">
        <f t="array" ref="AC72">IF(AB72="","",IFERROR(INDEX(HELPER!$D$8:$D$48,IF(AB72&gt;=HELPER!$B$8,1,MATCH(AB72,HELPER!$B$8:$B$48,-1)+1)),""))</f>
      </c>
      <c r="AD72" s="82" t="str">
        <f>IF(AC72="","",IFERROR(VLOOKUP(AC72,HELPER!$F$8:$G$48,2,FALSE),""))</f>
      </c>
      <c r="AE72" s="3"/>
      <c r="AF72" s="4"/>
    </row>
    <row r="73" spans="1:32" ht="15" customHeight="1" thickBot="1" x14ac:dyDescent="0.2">
      <c r="A73" s="3"/>
      <c r="B73" s="125">
        <v>5</v>
      </c>
      <c r="C73" s="181" t="str">
        <f>IF('INPUT DATA'!N15="","",'INPUT DATA'!N15)</f>
      </c>
      <c r="D73" s="182"/>
      <c r="E73" s="183"/>
      <c r="F73" s="54"/>
      <c r="G73" s="71"/>
      <c r="H73" s="71"/>
      <c r="I73" s="71"/>
      <c r="J73" s="72"/>
      <c r="K73" s="73">
        <f t="shared" si="12"/>
      </c>
      <c r="L73" s="74">
        <f t="shared" si="13"/>
      </c>
      <c r="M73" s="75">
        <f t="shared" si="14"/>
      </c>
      <c r="N73" s="70"/>
      <c r="O73" s="71"/>
      <c r="P73" s="72"/>
      <c r="Q73" s="73">
        <f t="shared" si="15"/>
      </c>
      <c r="R73" s="74">
        <f t="shared" si="16"/>
      </c>
      <c r="S73" s="75">
        <f t="shared" si="17"/>
      </c>
      <c r="T73" s="70"/>
      <c r="U73" s="71"/>
      <c r="V73" s="72"/>
      <c r="W73" s="77">
        <f t="shared" si="18"/>
      </c>
      <c r="X73" s="74">
        <f t="shared" si="19"/>
      </c>
      <c r="Y73" s="75">
        <f t="shared" si="20"/>
      </c>
      <c r="Z73" s="78">
        <f t="shared" si="21"/>
      </c>
      <c r="AA73" s="79">
        <f t="shared" si="22"/>
      </c>
      <c r="AB73" s="80">
        <f t="shared" si="23"/>
      </c>
      <c r="AC73" s="81">
        <f t="array" ref="AC73">IF(AB73="","",IFERROR(INDEX(HELPER!$D$8:$D$48,IF(AB73&gt;=HELPER!$B$8,1,MATCH(AB73,HELPER!$B$8:$B$48,-1)+1)),""))</f>
      </c>
      <c r="AD73" s="82" t="str">
        <f>IF(AC73="","",IFERROR(VLOOKUP(AC73,HELPER!$F$8:$G$48,2,FALSE),""))</f>
      </c>
      <c r="AE73" s="3"/>
      <c r="AF73" s="4"/>
    </row>
    <row r="74" spans="1:32" ht="15" customHeight="1" thickBot="1" x14ac:dyDescent="0.2">
      <c r="A74" s="3"/>
      <c r="B74" s="125">
        <v>6</v>
      </c>
      <c r="C74" s="181" t="str">
        <f>IF('INPUT DATA'!N16="","",'INPUT DATA'!N16)</f>
      </c>
      <c r="D74" s="182"/>
      <c r="E74" s="183"/>
      <c r="F74" s="54"/>
      <c r="G74" s="71"/>
      <c r="H74" s="71"/>
      <c r="I74" s="71"/>
      <c r="J74" s="72"/>
      <c r="K74" s="73">
        <f t="shared" si="12"/>
      </c>
      <c r="L74" s="74">
        <f t="shared" si="13"/>
      </c>
      <c r="M74" s="75">
        <f t="shared" si="14"/>
      </c>
      <c r="N74" s="70"/>
      <c r="O74" s="71"/>
      <c r="P74" s="72"/>
      <c r="Q74" s="73">
        <f t="shared" si="15"/>
      </c>
      <c r="R74" s="74">
        <f t="shared" si="16"/>
      </c>
      <c r="S74" s="75">
        <f t="shared" si="17"/>
      </c>
      <c r="T74" s="70"/>
      <c r="U74" s="71"/>
      <c r="V74" s="72"/>
      <c r="W74" s="77">
        <f t="shared" si="18"/>
      </c>
      <c r="X74" s="74">
        <f t="shared" si="19"/>
      </c>
      <c r="Y74" s="75">
        <f t="shared" si="20"/>
      </c>
      <c r="Z74" s="78">
        <f t="shared" si="21"/>
      </c>
      <c r="AA74" s="79">
        <f t="shared" si="22"/>
      </c>
      <c r="AB74" s="80">
        <f t="shared" si="23"/>
      </c>
      <c r="AC74" s="81">
        <f t="array" ref="AC74">IF(AB74="","",IFERROR(INDEX(HELPER!$D$8:$D$48,IF(AB74&gt;=HELPER!$B$8,1,MATCH(AB74,HELPER!$B$8:$B$48,-1)+1)),""))</f>
      </c>
      <c r="AD74" s="82" t="str">
        <f>IF(AC74="","",IFERROR(VLOOKUP(AC74,HELPER!$F$8:$G$48,2,FALSE),""))</f>
      </c>
      <c r="AE74" s="3"/>
      <c r="AF74" s="4"/>
    </row>
    <row r="75" spans="1:32" ht="15" customHeight="1" thickBot="1" x14ac:dyDescent="0.2">
      <c r="A75" s="3"/>
      <c r="B75" s="125">
        <v>7</v>
      </c>
      <c r="C75" s="181" t="str">
        <f>IF('INPUT DATA'!N17="","",'INPUT DATA'!N17)</f>
      </c>
      <c r="D75" s="182"/>
      <c r="E75" s="183"/>
      <c r="F75" s="54"/>
      <c r="G75" s="71"/>
      <c r="H75" s="71"/>
      <c r="I75" s="71"/>
      <c r="J75" s="72"/>
      <c r="K75" s="73">
        <f t="shared" si="12"/>
      </c>
      <c r="L75" s="74">
        <f t="shared" si="13"/>
      </c>
      <c r="M75" s="75">
        <f t="shared" si="14"/>
      </c>
      <c r="N75" s="70"/>
      <c r="O75" s="71"/>
      <c r="P75" s="72"/>
      <c r="Q75" s="73">
        <f t="shared" si="15"/>
      </c>
      <c r="R75" s="74">
        <f t="shared" si="16"/>
      </c>
      <c r="S75" s="75">
        <f t="shared" si="17"/>
      </c>
      <c r="T75" s="70"/>
      <c r="U75" s="71"/>
      <c r="V75" s="72"/>
      <c r="W75" s="77">
        <f t="shared" si="18"/>
      </c>
      <c r="X75" s="74">
        <f t="shared" si="19"/>
      </c>
      <c r="Y75" s="75">
        <f t="shared" si="20"/>
      </c>
      <c r="Z75" s="78">
        <f t="shared" si="21"/>
      </c>
      <c r="AA75" s="79">
        <f t="shared" si="22"/>
      </c>
      <c r="AB75" s="80">
        <f t="shared" si="23"/>
      </c>
      <c r="AC75" s="81">
        <f t="array" ref="AC75">IF(AB75="","",IFERROR(INDEX(HELPER!$D$8:$D$48,IF(AB75&gt;=HELPER!$B$8,1,MATCH(AB75,HELPER!$B$8:$B$48,-1)+1)),""))</f>
      </c>
      <c r="AD75" s="82" t="str">
        <f>IF(AC75="","",IFERROR(VLOOKUP(AC75,HELPER!$F$8:$G$48,2,FALSE),""))</f>
      </c>
      <c r="AE75" s="3"/>
      <c r="AF75" s="4"/>
    </row>
    <row r="76" spans="1:32" ht="15" customHeight="1" thickBot="1" x14ac:dyDescent="0.2">
      <c r="A76" s="3"/>
      <c r="B76" s="125">
        <v>8</v>
      </c>
      <c r="C76" s="181" t="str">
        <f>IF('INPUT DATA'!N18="","",'INPUT DATA'!N18)</f>
      </c>
      <c r="D76" s="182"/>
      <c r="E76" s="183"/>
      <c r="F76" s="54"/>
      <c r="G76" s="71"/>
      <c r="H76" s="71"/>
      <c r="I76" s="71"/>
      <c r="J76" s="72"/>
      <c r="K76" s="73">
        <f t="shared" si="12"/>
      </c>
      <c r="L76" s="74">
        <f t="shared" si="13"/>
      </c>
      <c r="M76" s="75">
        <f t="shared" si="14"/>
      </c>
      <c r="N76" s="70"/>
      <c r="O76" s="71"/>
      <c r="P76" s="72"/>
      <c r="Q76" s="73">
        <f t="shared" si="15"/>
      </c>
      <c r="R76" s="74">
        <f t="shared" si="16"/>
      </c>
      <c r="S76" s="75">
        <f t="shared" si="17"/>
      </c>
      <c r="T76" s="70"/>
      <c r="U76" s="71"/>
      <c r="V76" s="72"/>
      <c r="W76" s="77">
        <f t="shared" si="18"/>
      </c>
      <c r="X76" s="74">
        <f t="shared" si="19"/>
      </c>
      <c r="Y76" s="75">
        <f t="shared" si="20"/>
      </c>
      <c r="Z76" s="78">
        <f t="shared" si="21"/>
      </c>
      <c r="AA76" s="79">
        <f t="shared" si="22"/>
      </c>
      <c r="AB76" s="80">
        <f t="shared" si="23"/>
      </c>
      <c r="AC76" s="81">
        <f t="array" ref="AC76">IF(AB76="","",IFERROR(INDEX(HELPER!$D$8:$D$48,IF(AB76&gt;=HELPER!$B$8,1,MATCH(AB76,HELPER!$B$8:$B$48,-1)+1)),""))</f>
      </c>
      <c r="AD76" s="82" t="str">
        <f>IF(AC76="","",IFERROR(VLOOKUP(AC76,HELPER!$F$8:$G$48,2,FALSE),""))</f>
      </c>
      <c r="AE76" s="3"/>
      <c r="AF76" s="4"/>
    </row>
    <row r="77" spans="1:32" ht="15" customHeight="1" thickBot="1" x14ac:dyDescent="0.2">
      <c r="A77" s="3"/>
      <c r="B77" s="125">
        <v>9</v>
      </c>
      <c r="C77" s="181" t="str">
        <f>IF('INPUT DATA'!N19="","",'INPUT DATA'!N19)</f>
      </c>
      <c r="D77" s="182"/>
      <c r="E77" s="183"/>
      <c r="F77" s="54"/>
      <c r="G77" s="71"/>
      <c r="H77" s="71"/>
      <c r="I77" s="71"/>
      <c r="J77" s="72"/>
      <c r="K77" s="73">
        <f t="shared" si="12"/>
      </c>
      <c r="L77" s="74">
        <f t="shared" si="13"/>
      </c>
      <c r="M77" s="75">
        <f t="shared" si="14"/>
      </c>
      <c r="N77" s="70"/>
      <c r="O77" s="71"/>
      <c r="P77" s="72"/>
      <c r="Q77" s="73">
        <f t="shared" si="15"/>
      </c>
      <c r="R77" s="74">
        <f t="shared" si="16"/>
      </c>
      <c r="S77" s="75">
        <f t="shared" si="17"/>
      </c>
      <c r="T77" s="70"/>
      <c r="U77" s="71"/>
      <c r="V77" s="72"/>
      <c r="W77" s="77">
        <f t="shared" si="18"/>
      </c>
      <c r="X77" s="74">
        <f t="shared" si="19"/>
      </c>
      <c r="Y77" s="75">
        <f t="shared" si="20"/>
      </c>
      <c r="Z77" s="78">
        <f t="shared" si="21"/>
      </c>
      <c r="AA77" s="79">
        <f t="shared" si="22"/>
      </c>
      <c r="AB77" s="80">
        <f t="shared" si="23"/>
      </c>
      <c r="AC77" s="81">
        <f t="array" ref="AC77">IF(AB77="","",IFERROR(INDEX(HELPER!$D$8:$D$48,IF(AB77&gt;=HELPER!$B$8,1,MATCH(AB77,HELPER!$B$8:$B$48,-1)+1)),""))</f>
      </c>
      <c r="AD77" s="82" t="str">
        <f>IF(AC77="","",IFERROR(VLOOKUP(AC77,HELPER!$F$8:$G$48,2,FALSE),""))</f>
      </c>
      <c r="AE77" s="3"/>
      <c r="AF77" s="4"/>
    </row>
    <row r="78" spans="1:32" ht="15" customHeight="1" thickBot="1" x14ac:dyDescent="0.2">
      <c r="A78" s="3"/>
      <c r="B78" s="125">
        <v>10</v>
      </c>
      <c r="C78" s="181" t="str">
        <f>IF('INPUT DATA'!N20="","",'INPUT DATA'!N20)</f>
      </c>
      <c r="D78" s="182"/>
      <c r="E78" s="183"/>
      <c r="F78" s="54"/>
      <c r="G78" s="71"/>
      <c r="H78" s="71"/>
      <c r="I78" s="71"/>
      <c r="J78" s="72"/>
      <c r="K78" s="73">
        <f t="shared" si="12"/>
      </c>
      <c r="L78" s="74">
        <f t="shared" si="13"/>
      </c>
      <c r="M78" s="75">
        <f t="shared" si="14"/>
      </c>
      <c r="N78" s="70"/>
      <c r="O78" s="71"/>
      <c r="P78" s="72"/>
      <c r="Q78" s="73">
        <f t="shared" si="15"/>
      </c>
      <c r="R78" s="74">
        <f t="shared" si="16"/>
      </c>
      <c r="S78" s="75">
        <f t="shared" si="17"/>
      </c>
      <c r="T78" s="70"/>
      <c r="U78" s="71"/>
      <c r="V78" s="72"/>
      <c r="W78" s="77">
        <f t="shared" si="18"/>
      </c>
      <c r="X78" s="74">
        <f t="shared" si="19"/>
      </c>
      <c r="Y78" s="75">
        <f t="shared" si="20"/>
      </c>
      <c r="Z78" s="78">
        <f t="shared" si="21"/>
      </c>
      <c r="AA78" s="79">
        <f t="shared" si="22"/>
      </c>
      <c r="AB78" s="80">
        <f t="shared" si="23"/>
      </c>
      <c r="AC78" s="81">
        <f t="array" ref="AC78">IF(AB78="","",IFERROR(INDEX(HELPER!$D$8:$D$48,IF(AB78&gt;=HELPER!$B$8,1,MATCH(AB78,HELPER!$B$8:$B$48,-1)+1)),""))</f>
      </c>
      <c r="AD78" s="82" t="str">
        <f>IF(AC78="","",IFERROR(VLOOKUP(AC78,HELPER!$F$8:$G$48,2,FALSE),""))</f>
      </c>
      <c r="AE78" s="3"/>
      <c r="AF78" s="4"/>
    </row>
    <row r="79" spans="1:32" ht="15" customHeight="1" thickBot="1" x14ac:dyDescent="0.2">
      <c r="A79" s="3"/>
      <c r="B79" s="125">
        <v>11</v>
      </c>
      <c r="C79" s="181" t="str">
        <f>IF('INPUT DATA'!N21="","",'INPUT DATA'!N21)</f>
      </c>
      <c r="D79" s="182"/>
      <c r="E79" s="183"/>
      <c r="F79" s="54"/>
      <c r="G79" s="71"/>
      <c r="H79" s="71"/>
      <c r="I79" s="71"/>
      <c r="J79" s="72"/>
      <c r="K79" s="73">
        <f t="shared" si="12"/>
      </c>
      <c r="L79" s="74">
        <f t="shared" si="13"/>
      </c>
      <c r="M79" s="75">
        <f t="shared" si="14"/>
      </c>
      <c r="N79" s="70"/>
      <c r="O79" s="71"/>
      <c r="P79" s="72"/>
      <c r="Q79" s="73">
        <f t="shared" si="15"/>
      </c>
      <c r="R79" s="74">
        <f t="shared" si="16"/>
      </c>
      <c r="S79" s="75">
        <f t="shared" si="17"/>
      </c>
      <c r="T79" s="70"/>
      <c r="U79" s="71"/>
      <c r="V79" s="72"/>
      <c r="W79" s="77">
        <f t="shared" si="18"/>
      </c>
      <c r="X79" s="74">
        <f t="shared" si="19"/>
      </c>
      <c r="Y79" s="75">
        <f t="shared" si="20"/>
      </c>
      <c r="Z79" s="78">
        <f t="shared" si="21"/>
      </c>
      <c r="AA79" s="79">
        <f t="shared" si="22"/>
      </c>
      <c r="AB79" s="80">
        <f t="shared" si="23"/>
      </c>
      <c r="AC79" s="81">
        <f t="array" ref="AC79">IF(AB79="","",IFERROR(INDEX(HELPER!$D$8:$D$48,IF(AB79&gt;=HELPER!$B$8,1,MATCH(AB79,HELPER!$B$8:$B$48,-1)+1)),""))</f>
      </c>
      <c r="AD79" s="82" t="str">
        <f>IF(AC79="","",IFERROR(VLOOKUP(AC79,HELPER!$F$8:$G$48,2,FALSE),""))</f>
      </c>
      <c r="AE79" s="3"/>
      <c r="AF79" s="4"/>
    </row>
    <row r="80" spans="1:32" ht="15" customHeight="1" thickBot="1" x14ac:dyDescent="0.2">
      <c r="A80" s="3"/>
      <c r="B80" s="125">
        <v>12</v>
      </c>
      <c r="C80" s="181" t="str">
        <f>IF('INPUT DATA'!N22="","",'INPUT DATA'!N22)</f>
      </c>
      <c r="D80" s="182"/>
      <c r="E80" s="183"/>
      <c r="F80" s="54"/>
      <c r="G80" s="71"/>
      <c r="H80" s="71"/>
      <c r="I80" s="71"/>
      <c r="J80" s="72"/>
      <c r="K80" s="73">
        <f t="shared" si="12"/>
      </c>
      <c r="L80" s="74">
        <f t="shared" si="13"/>
      </c>
      <c r="M80" s="75">
        <f t="shared" si="14"/>
      </c>
      <c r="N80" s="70"/>
      <c r="O80" s="71"/>
      <c r="P80" s="72"/>
      <c r="Q80" s="73">
        <f t="shared" si="15"/>
      </c>
      <c r="R80" s="74">
        <f t="shared" si="16"/>
      </c>
      <c r="S80" s="75">
        <f t="shared" si="17"/>
      </c>
      <c r="T80" s="70"/>
      <c r="U80" s="71"/>
      <c r="V80" s="72"/>
      <c r="W80" s="77">
        <f t="shared" si="18"/>
      </c>
      <c r="X80" s="74">
        <f t="shared" si="19"/>
      </c>
      <c r="Y80" s="75">
        <f t="shared" si="20"/>
      </c>
      <c r="Z80" s="78">
        <f t="shared" si="21"/>
      </c>
      <c r="AA80" s="79">
        <f t="shared" si="22"/>
      </c>
      <c r="AB80" s="80">
        <f t="shared" si="23"/>
      </c>
      <c r="AC80" s="81">
        <f t="array" ref="AC80">IF(AB80="","",IFERROR(INDEX(HELPER!$D$8:$D$48,IF(AB80&gt;=HELPER!$B$8,1,MATCH(AB80,HELPER!$B$8:$B$48,-1)+1)),""))</f>
      </c>
      <c r="AD80" s="82" t="str">
        <f>IF(AC80="","",IFERROR(VLOOKUP(AC80,HELPER!$F$8:$G$48,2,FALSE),""))</f>
      </c>
      <c r="AE80" s="3"/>
      <c r="AF80" s="4"/>
    </row>
    <row r="81" spans="1:32" ht="15" customHeight="1" thickBot="1" x14ac:dyDescent="0.2">
      <c r="A81" s="3"/>
      <c r="B81" s="125">
        <v>13</v>
      </c>
      <c r="C81" s="181" t="str">
        <f>IF('INPUT DATA'!N23="","",'INPUT DATA'!N23)</f>
      </c>
      <c r="D81" s="182"/>
      <c r="E81" s="183"/>
      <c r="F81" s="54"/>
      <c r="G81" s="71"/>
      <c r="H81" s="71"/>
      <c r="I81" s="71"/>
      <c r="J81" s="72"/>
      <c r="K81" s="73">
        <f t="shared" si="12"/>
      </c>
      <c r="L81" s="74">
        <f t="shared" si="13"/>
      </c>
      <c r="M81" s="75">
        <f t="shared" si="14"/>
      </c>
      <c r="N81" s="70"/>
      <c r="O81" s="71"/>
      <c r="P81" s="72"/>
      <c r="Q81" s="73">
        <f t="shared" si="15"/>
      </c>
      <c r="R81" s="74">
        <f t="shared" si="16"/>
      </c>
      <c r="S81" s="75">
        <f t="shared" si="17"/>
      </c>
      <c r="T81" s="70"/>
      <c r="U81" s="71"/>
      <c r="V81" s="72"/>
      <c r="W81" s="77">
        <f t="shared" si="18"/>
      </c>
      <c r="X81" s="74">
        <f t="shared" si="19"/>
      </c>
      <c r="Y81" s="75">
        <f t="shared" si="20"/>
      </c>
      <c r="Z81" s="78">
        <f t="shared" si="21"/>
      </c>
      <c r="AA81" s="79">
        <f t="shared" si="22"/>
      </c>
      <c r="AB81" s="80">
        <f t="shared" si="23"/>
      </c>
      <c r="AC81" s="81">
        <f t="array" ref="AC81">IF(AB81="","",IFERROR(INDEX(HELPER!$D$8:$D$48,IF(AB81&gt;=HELPER!$B$8,1,MATCH(AB81,HELPER!$B$8:$B$48,-1)+1)),""))</f>
      </c>
      <c r="AD81" s="82" t="str">
        <f>IF(AC81="","",IFERROR(VLOOKUP(AC81,HELPER!$F$8:$G$48,2,FALSE),""))</f>
      </c>
      <c r="AE81" s="3"/>
      <c r="AF81" s="4"/>
    </row>
    <row r="82" spans="1:32" ht="15" customHeight="1" thickBot="1" x14ac:dyDescent="0.2">
      <c r="A82" s="3"/>
      <c r="B82" s="125">
        <v>14</v>
      </c>
      <c r="C82" s="181" t="str">
        <f>IF('INPUT DATA'!N24="","",'INPUT DATA'!N24)</f>
      </c>
      <c r="D82" s="182"/>
      <c r="E82" s="183"/>
      <c r="F82" s="54"/>
      <c r="G82" s="71"/>
      <c r="H82" s="71"/>
      <c r="I82" s="71"/>
      <c r="J82" s="72"/>
      <c r="K82" s="73">
        <f t="shared" si="12"/>
      </c>
      <c r="L82" s="74">
        <f t="shared" si="13"/>
      </c>
      <c r="M82" s="75">
        <f t="shared" si="14"/>
      </c>
      <c r="N82" s="70"/>
      <c r="O82" s="71"/>
      <c r="P82" s="72"/>
      <c r="Q82" s="73">
        <f t="shared" si="15"/>
      </c>
      <c r="R82" s="74">
        <f t="shared" si="16"/>
      </c>
      <c r="S82" s="75">
        <f t="shared" si="17"/>
      </c>
      <c r="T82" s="70"/>
      <c r="U82" s="71"/>
      <c r="V82" s="72"/>
      <c r="W82" s="77">
        <f t="shared" si="18"/>
      </c>
      <c r="X82" s="74">
        <f t="shared" si="19"/>
      </c>
      <c r="Y82" s="75">
        <f t="shared" si="20"/>
      </c>
      <c r="Z82" s="78">
        <f t="shared" si="21"/>
      </c>
      <c r="AA82" s="79">
        <f t="shared" si="22"/>
      </c>
      <c r="AB82" s="80">
        <f t="shared" si="23"/>
      </c>
      <c r="AC82" s="81">
        <f t="array" ref="AC82">IF(AB82="","",IFERROR(INDEX(HELPER!$D$8:$D$48,IF(AB82&gt;=HELPER!$B$8,1,MATCH(AB82,HELPER!$B$8:$B$48,-1)+1)),""))</f>
      </c>
      <c r="AD82" s="82" t="str">
        <f>IF(AC82="","",IFERROR(VLOOKUP(AC82,HELPER!$F$8:$G$48,2,FALSE),""))</f>
      </c>
      <c r="AE82" s="3"/>
      <c r="AF82" s="4"/>
    </row>
    <row r="83" spans="1:32" ht="15" customHeight="1" thickBot="1" x14ac:dyDescent="0.2">
      <c r="A83" s="3"/>
      <c r="B83" s="125">
        <v>15</v>
      </c>
      <c r="C83" s="181" t="str">
        <f>IF('INPUT DATA'!N25="","",'INPUT DATA'!N25)</f>
      </c>
      <c r="D83" s="182"/>
      <c r="E83" s="183"/>
      <c r="F83" s="54"/>
      <c r="G83" s="71"/>
      <c r="H83" s="71"/>
      <c r="I83" s="71"/>
      <c r="J83" s="72"/>
      <c r="K83" s="73">
        <f t="shared" si="12"/>
      </c>
      <c r="L83" s="74">
        <f t="shared" si="13"/>
      </c>
      <c r="M83" s="75">
        <f t="shared" si="14"/>
      </c>
      <c r="N83" s="70"/>
      <c r="O83" s="71"/>
      <c r="P83" s="72"/>
      <c r="Q83" s="73">
        <f t="shared" si="15"/>
      </c>
      <c r="R83" s="74">
        <f t="shared" si="16"/>
      </c>
      <c r="S83" s="75">
        <f t="shared" si="17"/>
      </c>
      <c r="T83" s="70"/>
      <c r="U83" s="71"/>
      <c r="V83" s="72"/>
      <c r="W83" s="77">
        <f t="shared" si="18"/>
      </c>
      <c r="X83" s="74">
        <f t="shared" si="19"/>
      </c>
      <c r="Y83" s="75">
        <f t="shared" si="20"/>
      </c>
      <c r="Z83" s="78">
        <f t="shared" si="21"/>
      </c>
      <c r="AA83" s="79">
        <f t="shared" si="22"/>
      </c>
      <c r="AB83" s="80">
        <f t="shared" si="23"/>
      </c>
      <c r="AC83" s="81">
        <f t="array" ref="AC83">IF(AB83="","",IFERROR(INDEX(HELPER!$D$8:$D$48,IF(AB83&gt;=HELPER!$B$8,1,MATCH(AB83,HELPER!$B$8:$B$48,-1)+1)),""))</f>
      </c>
      <c r="AD83" s="82" t="str">
        <f>IF(AC83="","",IFERROR(VLOOKUP(AC83,HELPER!$F$8:$G$48,2,FALSE),""))</f>
      </c>
      <c r="AE83" s="3"/>
      <c r="AF83" s="4"/>
    </row>
    <row r="84" spans="1:32" ht="15" customHeight="1" x14ac:dyDescent="0.15">
      <c r="A84" s="3"/>
      <c r="B84" s="125">
        <v>16</v>
      </c>
      <c r="C84" s="181" t="str">
        <f>IF('INPUT DATA'!N26="","",'INPUT DATA'!N26)</f>
      </c>
      <c r="D84" s="182"/>
      <c r="E84" s="183"/>
      <c r="F84" s="54"/>
      <c r="G84" s="71"/>
      <c r="H84" s="71"/>
      <c r="I84" s="71"/>
      <c r="J84" s="72"/>
      <c r="K84" s="73">
        <f t="shared" si="12"/>
      </c>
      <c r="L84" s="74">
        <f t="shared" si="13"/>
      </c>
      <c r="M84" s="75">
        <f t="shared" si="14"/>
      </c>
      <c r="N84" s="70"/>
      <c r="O84" s="71"/>
      <c r="P84" s="72"/>
      <c r="Q84" s="73">
        <f t="shared" si="15"/>
      </c>
      <c r="R84" s="74">
        <f t="shared" si="16"/>
      </c>
      <c r="S84" s="75">
        <f t="shared" si="17"/>
      </c>
      <c r="T84" s="70"/>
      <c r="U84" s="71"/>
      <c r="V84" s="72"/>
      <c r="W84" s="77">
        <f t="shared" si="18"/>
      </c>
      <c r="X84" s="74">
        <f t="shared" si="19"/>
      </c>
      <c r="Y84" s="75">
        <f t="shared" si="20"/>
      </c>
      <c r="Z84" s="78">
        <f t="shared" si="21"/>
      </c>
      <c r="AA84" s="79">
        <f t="shared" si="22"/>
      </c>
      <c r="AB84" s="80">
        <f t="shared" si="23"/>
      </c>
      <c r="AC84" s="81">
        <f t="array" ref="AC84">IF(AB84="","",IFERROR(INDEX(HELPER!$D$8:$D$48,IF(AB84&gt;=HELPER!$B$8,1,MATCH(AB84,HELPER!$B$8:$B$48,-1)+1)),""))</f>
      </c>
      <c r="AD84" s="82" t="str">
        <f>IF(AC84="","",IFERROR(VLOOKUP(AC84,HELPER!$F$8:$G$48,2,FALSE),""))</f>
      </c>
      <c r="AE84" s="3"/>
      <c r="AF84" s="4"/>
    </row>
    <row r="85" spans="1:32" ht="15" customHeight="1" x14ac:dyDescent="0.15">
      <c r="A85" s="3"/>
      <c r="B85" s="125">
        <v>17</v>
      </c>
      <c r="C85" s="181" t="str">
        <f>IF('INPUT DATA'!N27="","",'INPUT DATA'!N27)</f>
      </c>
      <c r="D85" s="182"/>
      <c r="E85" s="183"/>
      <c r="F85" s="70"/>
      <c r="G85" s="71"/>
      <c r="H85" s="71"/>
      <c r="I85" s="71"/>
      <c r="J85" s="72"/>
      <c r="K85" s="73" t="str">
        <f t="shared" si="12"/>
      </c>
      <c r="L85" s="74" t="str">
        <f t="shared" si="13"/>
      </c>
      <c r="M85" s="75" t="str">
        <f t="shared" si="14"/>
      </c>
      <c r="N85" s="70"/>
      <c r="O85" s="71"/>
      <c r="P85" s="72"/>
      <c r="Q85" s="73" t="str">
        <f t="shared" si="15"/>
      </c>
      <c r="R85" s="74" t="str">
        <f t="shared" si="16"/>
      </c>
      <c r="S85" s="75" t="str">
        <f t="shared" si="17"/>
      </c>
      <c r="T85" s="70"/>
      <c r="U85" s="71"/>
      <c r="V85" s="72"/>
      <c r="W85" s="77" t="str">
        <f t="shared" si="18"/>
      </c>
      <c r="X85" s="74" t="str">
        <f t="shared" si="19"/>
      </c>
      <c r="Y85" s="75" t="str">
        <f t="shared" si="20"/>
      </c>
      <c r="Z85" s="78" t="str">
        <f t="shared" si="21"/>
      </c>
      <c r="AA85" s="79" t="str">
        <f t="shared" si="22"/>
      </c>
      <c r="AB85" s="80" t="str">
        <f t="shared" si="23"/>
      </c>
      <c r="AC85" s="81" t="str">
        <f t="array" ref="AC85">IF(AB85="","",IFERROR(INDEX(HELPER!$D$8:$D$48,IF(AB85&gt;=HELPER!$B$8,1,MATCH(AB85,HELPER!$B$8:$B$48,-1)+1)),""))</f>
      </c>
      <c r="AD85" s="82" t="str">
        <f>IF(AC85="","",IFERROR(VLOOKUP(AC85,HELPER!$F$8:$G$48,2,FALSE),""))</f>
      </c>
      <c r="AE85" s="3"/>
      <c r="AF85" s="4"/>
    </row>
    <row r="86" spans="1:32" ht="15" customHeight="1" x14ac:dyDescent="0.15">
      <c r="A86" s="3"/>
      <c r="B86" s="125">
        <v>18</v>
      </c>
      <c r="C86" s="181" t="str">
        <f>IF('INPUT DATA'!N28="","",'INPUT DATA'!N28)</f>
      </c>
      <c r="D86" s="182"/>
      <c r="E86" s="183"/>
      <c r="F86" s="70"/>
      <c r="G86" s="71"/>
      <c r="H86" s="71"/>
      <c r="I86" s="71"/>
      <c r="J86" s="72"/>
      <c r="K86" s="73" t="str">
        <f t="shared" si="12"/>
      </c>
      <c r="L86" s="74" t="str">
        <f t="shared" si="13"/>
      </c>
      <c r="M86" s="75" t="str">
        <f t="shared" si="14"/>
      </c>
      <c r="N86" s="70"/>
      <c r="O86" s="71"/>
      <c r="P86" s="72"/>
      <c r="Q86" s="73" t="str">
        <f t="shared" si="15"/>
      </c>
      <c r="R86" s="74" t="str">
        <f t="shared" si="16"/>
      </c>
      <c r="S86" s="75" t="str">
        <f t="shared" si="17"/>
      </c>
      <c r="T86" s="70"/>
      <c r="U86" s="71"/>
      <c r="V86" s="72"/>
      <c r="W86" s="77" t="str">
        <f t="shared" si="18"/>
      </c>
      <c r="X86" s="74" t="str">
        <f t="shared" si="19"/>
      </c>
      <c r="Y86" s="75" t="str">
        <f t="shared" si="20"/>
      </c>
      <c r="Z86" s="78" t="str">
        <f t="shared" si="21"/>
      </c>
      <c r="AA86" s="79" t="str">
        <f t="shared" si="22"/>
      </c>
      <c r="AB86" s="80" t="str">
        <f t="shared" si="23"/>
      </c>
      <c r="AC86" s="81" t="str">
        <f t="array" ref="AC86">IF(AB86="","",IFERROR(INDEX(HELPER!$D$8:$D$48,IF(AB86&gt;=HELPER!$B$8,1,MATCH(AB86,HELPER!$B$8:$B$48,-1)+1)),""))</f>
      </c>
      <c r="AD86" s="82" t="str">
        <f>IF(AC86="","",IFERROR(VLOOKUP(AC86,HELPER!$F$8:$G$48,2,FALSE),""))</f>
      </c>
      <c r="AE86" s="3"/>
      <c r="AF86" s="4"/>
    </row>
    <row r="87" spans="1:32" ht="15" customHeight="1" x14ac:dyDescent="0.15">
      <c r="A87" s="3"/>
      <c r="B87" s="125">
        <v>19</v>
      </c>
      <c r="C87" s="181" t="str">
        <f>IF('INPUT DATA'!N29="","",'INPUT DATA'!N29)</f>
      </c>
      <c r="D87" s="182"/>
      <c r="E87" s="183"/>
      <c r="F87" s="70"/>
      <c r="G87" s="71"/>
      <c r="H87" s="71"/>
      <c r="I87" s="71"/>
      <c r="J87" s="72"/>
      <c r="K87" s="73" t="str">
        <f t="shared" si="12"/>
      </c>
      <c r="L87" s="74" t="str">
        <f t="shared" si="13"/>
      </c>
      <c r="M87" s="75" t="str">
        <f t="shared" si="14"/>
      </c>
      <c r="N87" s="70"/>
      <c r="O87" s="71"/>
      <c r="P87" s="72"/>
      <c r="Q87" s="73" t="str">
        <f t="shared" si="15"/>
      </c>
      <c r="R87" s="74" t="str">
        <f t="shared" si="16"/>
      </c>
      <c r="S87" s="75" t="str">
        <f t="shared" si="17"/>
      </c>
      <c r="T87" s="70"/>
      <c r="U87" s="71"/>
      <c r="V87" s="72"/>
      <c r="W87" s="77" t="str">
        <f t="shared" si="18"/>
      </c>
      <c r="X87" s="74" t="str">
        <f t="shared" si="19"/>
      </c>
      <c r="Y87" s="75" t="str">
        <f t="shared" si="20"/>
      </c>
      <c r="Z87" s="78" t="str">
        <f t="shared" si="21"/>
      </c>
      <c r="AA87" s="79" t="str">
        <f t="shared" si="22"/>
      </c>
      <c r="AB87" s="80" t="str">
        <f t="shared" si="23"/>
      </c>
      <c r="AC87" s="81" t="str">
        <f t="array" ref="AC87">IF(AB87="","",IFERROR(INDEX(HELPER!$D$8:$D$48,IF(AB87&gt;=HELPER!$B$8,1,MATCH(AB87,HELPER!$B$8:$B$48,-1)+1)),""))</f>
      </c>
      <c r="AD87" s="82" t="str">
        <f>IF(AC87="","",IFERROR(VLOOKUP(AC87,HELPER!$F$8:$G$48,2,FALSE),""))</f>
      </c>
      <c r="AE87" s="3"/>
      <c r="AF87" s="4"/>
    </row>
    <row r="88" spans="1:32" ht="15" customHeight="1" x14ac:dyDescent="0.15">
      <c r="A88" s="3"/>
      <c r="B88" s="132">
        <v>20</v>
      </c>
      <c r="C88" s="181" t="str">
        <f>IF('INPUT DATA'!N30="","",'INPUT DATA'!N30)</f>
      </c>
      <c r="D88" s="182"/>
      <c r="E88" s="183"/>
      <c r="F88" s="70"/>
      <c r="G88" s="71"/>
      <c r="H88" s="71"/>
      <c r="I88" s="71"/>
      <c r="J88" s="72"/>
      <c r="K88" s="73" t="str">
        <f t="shared" si="12"/>
      </c>
      <c r="L88" s="74" t="str">
        <f t="shared" si="13"/>
      </c>
      <c r="M88" s="75" t="str">
        <f t="shared" si="14"/>
      </c>
      <c r="N88" s="70"/>
      <c r="O88" s="71"/>
      <c r="P88" s="72"/>
      <c r="Q88" s="73" t="str">
        <f t="shared" si="15"/>
      </c>
      <c r="R88" s="74" t="str">
        <f t="shared" si="16"/>
      </c>
      <c r="S88" s="75" t="str">
        <f t="shared" si="17"/>
      </c>
      <c r="T88" s="70"/>
      <c r="U88" s="71"/>
      <c r="V88" s="72"/>
      <c r="W88" s="77" t="str">
        <f t="shared" si="18"/>
      </c>
      <c r="X88" s="74" t="str">
        <f t="shared" si="19"/>
      </c>
      <c r="Y88" s="75" t="str">
        <f t="shared" si="20"/>
      </c>
      <c r="Z88" s="78" t="str">
        <f t="shared" si="21"/>
      </c>
      <c r="AA88" s="79" t="str">
        <f t="shared" si="22"/>
      </c>
      <c r="AB88" s="80" t="str">
        <f t="shared" si="23"/>
      </c>
      <c r="AC88" s="81" t="str">
        <f t="array" ref="AC88">IF(AB88="","",IFERROR(INDEX(HELPER!$D$8:$D$48,IF(AB88&gt;=HELPER!$B$8,1,MATCH(AB88,HELPER!$B$8:$B$48,-1)+1)),""))</f>
      </c>
      <c r="AD88" s="82" t="str">
        <f>IF(AC88="","",IFERROR(VLOOKUP(AC88,HELPER!$F$8:$G$48,2,FALSE),""))</f>
      </c>
      <c r="AE88" s="3"/>
      <c r="AF88" s="4"/>
    </row>
    <row r="89" spans="1:32" ht="15" customHeight="1" x14ac:dyDescent="0.15">
      <c r="A89" s="3"/>
      <c r="B89" s="132">
        <v>21</v>
      </c>
      <c r="C89" s="181" t="str">
        <f>IF('INPUT DATA'!N31="","",'INPUT DATA'!N31)</f>
      </c>
      <c r="D89" s="182"/>
      <c r="E89" s="183"/>
      <c r="F89" s="70"/>
      <c r="G89" s="71"/>
      <c r="H89" s="71"/>
      <c r="I89" s="71"/>
      <c r="J89" s="72"/>
      <c r="K89" s="73" t="str">
        <f t="shared" si="12"/>
      </c>
      <c r="L89" s="74" t="str">
        <f t="shared" si="13"/>
      </c>
      <c r="M89" s="75" t="str">
        <f t="shared" si="14"/>
      </c>
      <c r="N89" s="70"/>
      <c r="O89" s="71"/>
      <c r="P89" s="72"/>
      <c r="Q89" s="73" t="str">
        <f t="shared" si="15"/>
      </c>
      <c r="R89" s="74" t="str">
        <f t="shared" si="16"/>
      </c>
      <c r="S89" s="75" t="str">
        <f t="shared" si="17"/>
      </c>
      <c r="T89" s="70"/>
      <c r="U89" s="71"/>
      <c r="V89" s="72"/>
      <c r="W89" s="77" t="str">
        <f t="shared" si="18"/>
      </c>
      <c r="X89" s="74" t="str">
        <f t="shared" si="19"/>
      </c>
      <c r="Y89" s="75" t="str">
        <f t="shared" si="20"/>
      </c>
      <c r="Z89" s="78" t="str">
        <f t="shared" si="21"/>
      </c>
      <c r="AA89" s="79" t="str">
        <f t="shared" si="22"/>
      </c>
      <c r="AB89" s="80" t="str">
        <f t="shared" si="23"/>
      </c>
      <c r="AC89" s="81" t="str">
        <f t="array" ref="AC89">IF(AB89="","",IFERROR(INDEX(HELPER!$D$8:$D$48,IF(AB89&gt;=HELPER!$B$8,1,MATCH(AB89,HELPER!$B$8:$B$48,-1)+1)),""))</f>
      </c>
      <c r="AD89" s="82" t="str">
        <f>IF(AC89="","",IFERROR(VLOOKUP(AC89,HELPER!$F$8:$G$48,2,FALSE),""))</f>
      </c>
      <c r="AE89" s="3"/>
      <c r="AF89" s="4"/>
    </row>
    <row r="90" spans="1:32" ht="15" customHeight="1" x14ac:dyDescent="0.15">
      <c r="A90" s="3"/>
      <c r="B90" s="132">
        <v>22</v>
      </c>
      <c r="C90" s="181" t="str">
        <f>IF('INPUT DATA'!N32="","",'INPUT DATA'!N32)</f>
      </c>
      <c r="D90" s="182"/>
      <c r="E90" s="183"/>
      <c r="F90" s="70"/>
      <c r="G90" s="71"/>
      <c r="H90" s="71"/>
      <c r="I90" s="71"/>
      <c r="J90" s="72"/>
      <c r="K90" s="73" t="str">
        <f t="shared" si="12"/>
      </c>
      <c r="L90" s="74" t="str">
        <f t="shared" si="13"/>
      </c>
      <c r="M90" s="75" t="str">
        <f t="shared" si="14"/>
      </c>
      <c r="N90" s="70"/>
      <c r="O90" s="71"/>
      <c r="P90" s="72"/>
      <c r="Q90" s="73" t="str">
        <f t="shared" si="15"/>
      </c>
      <c r="R90" s="74" t="str">
        <f t="shared" si="16"/>
      </c>
      <c r="S90" s="75" t="str">
        <f t="shared" si="17"/>
      </c>
      <c r="T90" s="70"/>
      <c r="U90" s="71"/>
      <c r="V90" s="72"/>
      <c r="W90" s="77" t="str">
        <f t="shared" si="18"/>
      </c>
      <c r="X90" s="74" t="str">
        <f t="shared" si="19"/>
      </c>
      <c r="Y90" s="75" t="str">
        <f t="shared" si="20"/>
      </c>
      <c r="Z90" s="78" t="str">
        <f t="shared" si="21"/>
      </c>
      <c r="AA90" s="79" t="str">
        <f t="shared" si="22"/>
      </c>
      <c r="AB90" s="80" t="str">
        <f t="shared" si="23"/>
      </c>
      <c r="AC90" s="81" t="str">
        <f t="array" ref="AC90">IF(AB90="","",IFERROR(INDEX(HELPER!$D$8:$D$48,IF(AB90&gt;=HELPER!$B$8,1,MATCH(AB90,HELPER!$B$8:$B$48,-1)+1)),""))</f>
      </c>
      <c r="AD90" s="82" t="str">
        <f>IF(AC90="","",IFERROR(VLOOKUP(AC90,HELPER!$F$8:$G$48,2,FALSE),""))</f>
      </c>
      <c r="AE90" s="3"/>
      <c r="AF90" s="4"/>
    </row>
    <row r="91" spans="1:32" ht="15" customHeight="1" x14ac:dyDescent="0.15">
      <c r="A91" s="3"/>
      <c r="B91" s="132">
        <v>23</v>
      </c>
      <c r="C91" s="181" t="str">
        <f>IF('INPUT DATA'!N33="","",'INPUT DATA'!N33)</f>
      </c>
      <c r="D91" s="182"/>
      <c r="E91" s="183"/>
      <c r="F91" s="70"/>
      <c r="G91" s="71"/>
      <c r="H91" s="71"/>
      <c r="I91" s="71"/>
      <c r="J91" s="72"/>
      <c r="K91" s="73" t="str">
        <f t="shared" si="12"/>
      </c>
      <c r="L91" s="74" t="str">
        <f t="shared" si="13"/>
      </c>
      <c r="M91" s="75" t="str">
        <f t="shared" si="14"/>
      </c>
      <c r="N91" s="70"/>
      <c r="O91" s="71"/>
      <c r="P91" s="72"/>
      <c r="Q91" s="73" t="str">
        <f t="shared" si="15"/>
      </c>
      <c r="R91" s="74" t="str">
        <f t="shared" si="16"/>
      </c>
      <c r="S91" s="75" t="str">
        <f t="shared" si="17"/>
      </c>
      <c r="T91" s="70"/>
      <c r="U91" s="71"/>
      <c r="V91" s="72"/>
      <c r="W91" s="77" t="str">
        <f t="shared" si="18"/>
      </c>
      <c r="X91" s="74" t="str">
        <f t="shared" si="19"/>
      </c>
      <c r="Y91" s="75" t="str">
        <f t="shared" si="20"/>
      </c>
      <c r="Z91" s="78" t="str">
        <f t="shared" si="21"/>
      </c>
      <c r="AA91" s="79" t="str">
        <f t="shared" si="22"/>
      </c>
      <c r="AB91" s="80" t="str">
        <f t="shared" si="23"/>
      </c>
      <c r="AC91" s="81" t="str">
        <f t="array" ref="AC91">IF(AB91="","",IFERROR(INDEX(HELPER!$D$8:$D$48,IF(AB91&gt;=HELPER!$B$8,1,MATCH(AB91,HELPER!$B$8:$B$48,-1)+1)),""))</f>
      </c>
      <c r="AD91" s="82" t="str">
        <f>IF(AC91="","",IFERROR(VLOOKUP(AC91,HELPER!$F$8:$G$48,2,FALSE),""))</f>
      </c>
      <c r="AE91" s="3"/>
      <c r="AF91" s="4"/>
    </row>
    <row r="92" spans="1:32" ht="15" customHeight="1" x14ac:dyDescent="0.15">
      <c r="A92" s="3"/>
      <c r="B92" s="132">
        <v>24</v>
      </c>
      <c r="C92" s="181" t="str">
        <f>IF('INPUT DATA'!N34="","",'INPUT DATA'!N34)</f>
      </c>
      <c r="D92" s="182"/>
      <c r="E92" s="183"/>
      <c r="F92" s="70"/>
      <c r="G92" s="71"/>
      <c r="H92" s="71"/>
      <c r="I92" s="71"/>
      <c r="J92" s="72"/>
      <c r="K92" s="73" t="str">
        <f t="shared" si="12"/>
      </c>
      <c r="L92" s="74" t="str">
        <f t="shared" si="13"/>
      </c>
      <c r="M92" s="75" t="str">
        <f t="shared" si="14"/>
      </c>
      <c r="N92" s="70"/>
      <c r="O92" s="71"/>
      <c r="P92" s="72"/>
      <c r="Q92" s="73" t="str">
        <f t="shared" si="15"/>
      </c>
      <c r="R92" s="74" t="str">
        <f t="shared" si="16"/>
      </c>
      <c r="S92" s="75" t="str">
        <f t="shared" si="17"/>
      </c>
      <c r="T92" s="70"/>
      <c r="U92" s="71"/>
      <c r="V92" s="72"/>
      <c r="W92" s="77" t="str">
        <f t="shared" si="18"/>
      </c>
      <c r="X92" s="74" t="str">
        <f t="shared" si="19"/>
      </c>
      <c r="Y92" s="75" t="str">
        <f t="shared" si="20"/>
      </c>
      <c r="Z92" s="78" t="str">
        <f t="shared" si="21"/>
      </c>
      <c r="AA92" s="79" t="str">
        <f t="shared" si="22"/>
      </c>
      <c r="AB92" s="80" t="str">
        <f t="shared" si="23"/>
      </c>
      <c r="AC92" s="81" t="str">
        <f t="array" ref="AC92">IF(AB92="","",IFERROR(INDEX(HELPER!$D$8:$D$48,IF(AB92&gt;=HELPER!$B$8,1,MATCH(AB92,HELPER!$B$8:$B$48,-1)+1)),""))</f>
      </c>
      <c r="AD92" s="82" t="str">
        <f>IF(AC92="","",IFERROR(VLOOKUP(AC92,HELPER!$F$8:$G$48,2,FALSE),""))</f>
      </c>
      <c r="AE92" s="3"/>
      <c r="AF92" s="4"/>
    </row>
    <row r="93" spans="1:32" ht="15" customHeight="1" x14ac:dyDescent="0.15">
      <c r="A93" s="3"/>
      <c r="B93" s="132">
        <v>25</v>
      </c>
      <c r="C93" s="181" t="str">
        <f>IF('INPUT DATA'!N35="","",'INPUT DATA'!N35)</f>
      </c>
      <c r="D93" s="182"/>
      <c r="E93" s="183"/>
      <c r="F93" s="70"/>
      <c r="G93" s="71"/>
      <c r="H93" s="71"/>
      <c r="I93" s="71"/>
      <c r="J93" s="72"/>
      <c r="K93" s="73" t="str">
        <f t="shared" si="12"/>
      </c>
      <c r="L93" s="74" t="str">
        <f t="shared" si="13"/>
      </c>
      <c r="M93" s="75" t="str">
        <f t="shared" si="14"/>
      </c>
      <c r="N93" s="70"/>
      <c r="O93" s="71"/>
      <c r="P93" s="72"/>
      <c r="Q93" s="73" t="str">
        <f t="shared" si="15"/>
      </c>
      <c r="R93" s="74" t="str">
        <f t="shared" si="16"/>
      </c>
      <c r="S93" s="75" t="str">
        <f t="shared" si="17"/>
      </c>
      <c r="T93" s="70"/>
      <c r="U93" s="71"/>
      <c r="V93" s="72"/>
      <c r="W93" s="77" t="str">
        <f t="shared" si="18"/>
      </c>
      <c r="X93" s="74" t="str">
        <f t="shared" si="19"/>
      </c>
      <c r="Y93" s="75" t="str">
        <f t="shared" si="20"/>
      </c>
      <c r="Z93" s="78" t="str">
        <f t="shared" si="21"/>
      </c>
      <c r="AA93" s="79" t="str">
        <f t="shared" si="22"/>
      </c>
      <c r="AB93" s="80" t="str">
        <f t="shared" si="23"/>
      </c>
      <c r="AC93" s="81" t="str">
        <f t="array" ref="AC93">IF(AB93="","",IFERROR(INDEX(HELPER!$D$8:$D$48,IF(AB93&gt;=HELPER!$B$8,1,MATCH(AB93,HELPER!$B$8:$B$48,-1)+1)),""))</f>
      </c>
      <c r="AD93" s="82" t="str">
        <f>IF(AC93="","",IFERROR(VLOOKUP(AC93,HELPER!$F$8:$G$48,2,FALSE),""))</f>
      </c>
      <c r="AE93" s="3"/>
      <c r="AF93" s="4"/>
    </row>
    <row r="94" spans="1:32" ht="15" customHeight="1" x14ac:dyDescent="0.15">
      <c r="A94" s="3"/>
      <c r="B94" s="132">
        <v>26</v>
      </c>
      <c r="C94" s="181" t="str">
        <f>IF('INPUT DATA'!N36="","",'INPUT DATA'!N36)</f>
      </c>
      <c r="D94" s="182"/>
      <c r="E94" s="183"/>
      <c r="F94" s="70"/>
      <c r="G94" s="71"/>
      <c r="H94" s="71"/>
      <c r="I94" s="71"/>
      <c r="J94" s="72"/>
      <c r="K94" s="73" t="str">
        <f t="shared" si="12"/>
      </c>
      <c r="L94" s="74" t="str">
        <f t="shared" si="13"/>
      </c>
      <c r="M94" s="75" t="str">
        <f t="shared" si="14"/>
      </c>
      <c r="N94" s="70"/>
      <c r="O94" s="71"/>
      <c r="P94" s="72"/>
      <c r="Q94" s="73" t="str">
        <f t="shared" si="15"/>
      </c>
      <c r="R94" s="74" t="str">
        <f t="shared" si="16"/>
      </c>
      <c r="S94" s="75" t="str">
        <f t="shared" si="17"/>
      </c>
      <c r="T94" s="70"/>
      <c r="U94" s="71"/>
      <c r="V94" s="72"/>
      <c r="W94" s="77" t="str">
        <f t="shared" si="18"/>
      </c>
      <c r="X94" s="74" t="str">
        <f t="shared" si="19"/>
      </c>
      <c r="Y94" s="75" t="str">
        <f t="shared" si="20"/>
      </c>
      <c r="Z94" s="78" t="str">
        <f t="shared" si="21"/>
      </c>
      <c r="AA94" s="79" t="str">
        <f t="shared" si="22"/>
      </c>
      <c r="AB94" s="80" t="str">
        <f t="shared" si="23"/>
      </c>
      <c r="AC94" s="81" t="str">
        <f t="array" ref="AC94">IF(AB94="","",IFERROR(INDEX(HELPER!$D$8:$D$48,IF(AB94&gt;=HELPER!$B$8,1,MATCH(AB94,HELPER!$B$8:$B$48,-1)+1)),""))</f>
      </c>
      <c r="AD94" s="82" t="str">
        <f>IF(AC94="","",IFERROR(VLOOKUP(AC94,HELPER!$F$8:$G$48,2,FALSE),""))</f>
      </c>
      <c r="AE94" s="3"/>
      <c r="AF94" s="4"/>
    </row>
    <row r="95" spans="1:32" ht="15" customHeight="1" x14ac:dyDescent="0.15">
      <c r="A95" s="3"/>
      <c r="B95" s="132">
        <v>27</v>
      </c>
      <c r="C95" s="181" t="str">
        <f>IF('INPUT DATA'!N37="","",'INPUT DATA'!N37)</f>
      </c>
      <c r="D95" s="182"/>
      <c r="E95" s="183"/>
      <c r="F95" s="70"/>
      <c r="G95" s="71"/>
      <c r="H95" s="71"/>
      <c r="I95" s="71"/>
      <c r="J95" s="72"/>
      <c r="K95" s="73" t="str">
        <f t="shared" si="12"/>
      </c>
      <c r="L95" s="74" t="str">
        <f t="shared" si="13"/>
      </c>
      <c r="M95" s="75" t="str">
        <f t="shared" si="14"/>
      </c>
      <c r="N95" s="70"/>
      <c r="O95" s="71"/>
      <c r="P95" s="72"/>
      <c r="Q95" s="73" t="str">
        <f t="shared" si="15"/>
      </c>
      <c r="R95" s="74" t="str">
        <f t="shared" si="16"/>
      </c>
      <c r="S95" s="75" t="str">
        <f t="shared" si="17"/>
      </c>
      <c r="T95" s="70"/>
      <c r="U95" s="71"/>
      <c r="V95" s="72"/>
      <c r="W95" s="77" t="str">
        <f t="shared" si="18"/>
      </c>
      <c r="X95" s="74" t="str">
        <f t="shared" si="19"/>
      </c>
      <c r="Y95" s="75" t="str">
        <f t="shared" si="20"/>
      </c>
      <c r="Z95" s="78" t="str">
        <f t="shared" si="21"/>
      </c>
      <c r="AA95" s="79" t="str">
        <f t="shared" si="22"/>
      </c>
      <c r="AB95" s="80" t="str">
        <f t="shared" si="23"/>
      </c>
      <c r="AC95" s="81" t="str">
        <f t="array" ref="AC95">IF(AB95="","",IFERROR(INDEX(HELPER!$D$8:$D$48,IF(AB95&gt;=HELPER!$B$8,1,MATCH(AB95,HELPER!$B$8:$B$48,-1)+1)),""))</f>
      </c>
      <c r="AD95" s="82" t="str">
        <f>IF(AC95="","",IFERROR(VLOOKUP(AC95,HELPER!$F$8:$G$48,2,FALSE),""))</f>
      </c>
      <c r="AE95" s="3"/>
      <c r="AF95" s="4"/>
    </row>
    <row r="96" spans="1:32" ht="15" customHeight="1" x14ac:dyDescent="0.15">
      <c r="A96" s="3"/>
      <c r="B96" s="132">
        <v>28</v>
      </c>
      <c r="C96" s="181" t="str">
        <f>IF('INPUT DATA'!N38="","",'INPUT DATA'!N38)</f>
      </c>
      <c r="D96" s="182"/>
      <c r="E96" s="183"/>
      <c r="F96" s="70"/>
      <c r="G96" s="71"/>
      <c r="H96" s="71"/>
      <c r="I96" s="71"/>
      <c r="J96" s="72"/>
      <c r="K96" s="73" t="str">
        <f t="shared" si="12"/>
      </c>
      <c r="L96" s="74" t="str">
        <f t="shared" si="13"/>
      </c>
      <c r="M96" s="75" t="str">
        <f t="shared" si="14"/>
      </c>
      <c r="N96" s="70"/>
      <c r="O96" s="71"/>
      <c r="P96" s="72"/>
      <c r="Q96" s="73" t="str">
        <f t="shared" si="15"/>
      </c>
      <c r="R96" s="74" t="str">
        <f t="shared" si="16"/>
      </c>
      <c r="S96" s="75" t="str">
        <f t="shared" si="17"/>
      </c>
      <c r="T96" s="70"/>
      <c r="U96" s="71"/>
      <c r="V96" s="72"/>
      <c r="W96" s="77" t="str">
        <f t="shared" si="18"/>
      </c>
      <c r="X96" s="74" t="str">
        <f t="shared" si="19"/>
      </c>
      <c r="Y96" s="75" t="str">
        <f t="shared" si="20"/>
      </c>
      <c r="Z96" s="78" t="str">
        <f t="shared" si="21"/>
      </c>
      <c r="AA96" s="79" t="str">
        <f t="shared" si="22"/>
      </c>
      <c r="AB96" s="80" t="str">
        <f t="shared" si="23"/>
      </c>
      <c r="AC96" s="81" t="str">
        <f t="array" ref="AC96">IF(AB96="","",IFERROR(INDEX(HELPER!$D$8:$D$48,IF(AB96&gt;=HELPER!$B$8,1,MATCH(AB96,HELPER!$B$8:$B$48,-1)+1)),""))</f>
      </c>
      <c r="AD96" s="82" t="str">
        <f>IF(AC96="","",IFERROR(VLOOKUP(AC96,HELPER!$F$8:$G$48,2,FALSE),""))</f>
      </c>
      <c r="AE96" s="3"/>
      <c r="AF96" s="4"/>
    </row>
    <row r="97" spans="1:32" ht="15" customHeight="1" x14ac:dyDescent="0.15">
      <c r="A97" s="3"/>
      <c r="B97" s="132">
        <v>29</v>
      </c>
      <c r="C97" s="181" t="str">
        <f>IF('INPUT DATA'!N39="","",'INPUT DATA'!N39)</f>
      </c>
      <c r="D97" s="182"/>
      <c r="E97" s="183"/>
      <c r="F97" s="70"/>
      <c r="G97" s="71"/>
      <c r="H97" s="71"/>
      <c r="I97" s="71"/>
      <c r="J97" s="72"/>
      <c r="K97" s="73" t="str">
        <f t="shared" si="12"/>
      </c>
      <c r="L97" s="74" t="str">
        <f t="shared" si="13"/>
      </c>
      <c r="M97" s="75" t="str">
        <f t="shared" si="14"/>
      </c>
      <c r="N97" s="70"/>
      <c r="O97" s="71"/>
      <c r="P97" s="72"/>
      <c r="Q97" s="73" t="str">
        <f t="shared" si="15"/>
      </c>
      <c r="R97" s="74" t="str">
        <f t="shared" si="16"/>
      </c>
      <c r="S97" s="75" t="str">
        <f t="shared" si="17"/>
      </c>
      <c r="T97" s="70"/>
      <c r="U97" s="71"/>
      <c r="V97" s="72"/>
      <c r="W97" s="77" t="str">
        <f t="shared" si="18"/>
      </c>
      <c r="X97" s="74" t="str">
        <f t="shared" si="19"/>
      </c>
      <c r="Y97" s="75" t="str">
        <f t="shared" si="20"/>
      </c>
      <c r="Z97" s="78" t="str">
        <f t="shared" si="21"/>
      </c>
      <c r="AA97" s="79" t="str">
        <f t="shared" si="22"/>
      </c>
      <c r="AB97" s="80" t="str">
        <f t="shared" si="23"/>
      </c>
      <c r="AC97" s="81" t="str">
        <f t="array" ref="AC97">IF(AB97="","",IFERROR(INDEX(HELPER!$D$8:$D$48,IF(AB97&gt;=HELPER!$B$8,1,MATCH(AB97,HELPER!$B$8:$B$48,-1)+1)),""))</f>
      </c>
      <c r="AD97" s="82" t="str">
        <f>IF(AC97="","",IFERROR(VLOOKUP(AC97,HELPER!$F$8:$G$48,2,FALSE),""))</f>
      </c>
      <c r="AE97" s="3"/>
      <c r="AF97" s="4"/>
    </row>
    <row r="98" spans="1:32" ht="15" customHeight="1" x14ac:dyDescent="0.15">
      <c r="A98" s="3"/>
      <c r="B98" s="132">
        <v>30</v>
      </c>
      <c r="C98" s="181" t="str">
        <f>IF('INPUT DATA'!N40="","",'INPUT DATA'!N40)</f>
      </c>
      <c r="D98" s="182"/>
      <c r="E98" s="183"/>
      <c r="F98" s="70"/>
      <c r="G98" s="71"/>
      <c r="H98" s="71"/>
      <c r="I98" s="71"/>
      <c r="J98" s="72"/>
      <c r="K98" s="73" t="str">
        <f t="shared" si="12"/>
      </c>
      <c r="L98" s="74" t="str">
        <f t="shared" si="13"/>
      </c>
      <c r="M98" s="75" t="str">
        <f t="shared" si="14"/>
      </c>
      <c r="N98" s="70"/>
      <c r="O98" s="71"/>
      <c r="P98" s="72"/>
      <c r="Q98" s="73" t="str">
        <f t="shared" si="15"/>
      </c>
      <c r="R98" s="74" t="str">
        <f t="shared" si="16"/>
      </c>
      <c r="S98" s="75" t="str">
        <f t="shared" si="17"/>
      </c>
      <c r="T98" s="70"/>
      <c r="U98" s="71"/>
      <c r="V98" s="72"/>
      <c r="W98" s="77" t="str">
        <f t="shared" si="18"/>
      </c>
      <c r="X98" s="74" t="str">
        <f t="shared" si="19"/>
      </c>
      <c r="Y98" s="75" t="str">
        <f t="shared" si="20"/>
      </c>
      <c r="Z98" s="78" t="str">
        <f t="shared" si="21"/>
      </c>
      <c r="AA98" s="79" t="str">
        <f t="shared" si="22"/>
      </c>
      <c r="AB98" s="80" t="str">
        <f t="shared" si="23"/>
      </c>
      <c r="AC98" s="81" t="str">
        <f t="array" ref="AC98">IF(AB98="","",IFERROR(INDEX(HELPER!$D$8:$D$48,IF(AB98&gt;=HELPER!$B$8,1,MATCH(AB98,HELPER!$B$8:$B$48,-1)+1)),""))</f>
      </c>
      <c r="AD98" s="82" t="str">
        <f>IF(AC98="","",IFERROR(VLOOKUP(AC98,HELPER!$F$8:$G$48,2,FALSE),""))</f>
      </c>
      <c r="AE98" s="3"/>
      <c r="AF98" s="4"/>
    </row>
    <row r="99" spans="1:32" ht="15" customHeight="1" x14ac:dyDescent="0.15">
      <c r="A99" s="3"/>
      <c r="B99" s="132">
        <v>31</v>
      </c>
      <c r="C99" s="181" t="str">
        <f>IF('INPUT DATA'!N41="","",'INPUT DATA'!N41)</f>
      </c>
      <c r="D99" s="182"/>
      <c r="E99" s="183"/>
      <c r="F99" s="70"/>
      <c r="G99" s="71"/>
      <c r="H99" s="71"/>
      <c r="I99" s="71"/>
      <c r="J99" s="72"/>
      <c r="K99" s="73" t="str">
        <f t="shared" si="12"/>
      </c>
      <c r="L99" s="74" t="str">
        <f t="shared" si="13"/>
      </c>
      <c r="M99" s="75" t="str">
        <f t="shared" si="14"/>
      </c>
      <c r="N99" s="70"/>
      <c r="O99" s="71"/>
      <c r="P99" s="72"/>
      <c r="Q99" s="73" t="str">
        <f t="shared" si="15"/>
      </c>
      <c r="R99" s="74" t="str">
        <f t="shared" si="16"/>
      </c>
      <c r="S99" s="75" t="str">
        <f t="shared" si="17"/>
      </c>
      <c r="T99" s="70"/>
      <c r="U99" s="71"/>
      <c r="V99" s="72"/>
      <c r="W99" s="77" t="str">
        <f t="shared" si="18"/>
      </c>
      <c r="X99" s="74" t="str">
        <f t="shared" si="19"/>
      </c>
      <c r="Y99" s="75" t="str">
        <f t="shared" si="20"/>
      </c>
      <c r="Z99" s="78" t="str">
        <f t="shared" si="21"/>
      </c>
      <c r="AA99" s="79" t="str">
        <f t="shared" si="22"/>
      </c>
      <c r="AB99" s="80" t="str">
        <f t="shared" si="23"/>
      </c>
      <c r="AC99" s="81" t="str">
        <f t="array" ref="AC99">IF(AB99="","",IFERROR(INDEX(HELPER!$D$8:$D$48,IF(AB99&gt;=HELPER!$B$8,1,MATCH(AB99,HELPER!$B$8:$B$48,-1)+1)),""))</f>
      </c>
      <c r="AD99" s="82" t="str">
        <f>IF(AC99="","",IFERROR(VLOOKUP(AC99,HELPER!$F$8:$G$48,2,FALSE),""))</f>
      </c>
      <c r="AE99" s="3"/>
      <c r="AF99" s="4"/>
    </row>
    <row r="100" spans="1:32" ht="15" customHeight="1" x14ac:dyDescent="0.15">
      <c r="A100" s="3"/>
      <c r="B100" s="132">
        <v>32</v>
      </c>
      <c r="C100" s="181" t="str">
        <f>IF('INPUT DATA'!N42="","",'INPUT DATA'!N42)</f>
      </c>
      <c r="D100" s="182"/>
      <c r="E100" s="183"/>
      <c r="F100" s="70"/>
      <c r="G100" s="71"/>
      <c r="H100" s="71"/>
      <c r="I100" s="71"/>
      <c r="J100" s="72"/>
      <c r="K100" s="73" t="str">
        <f t="shared" si="12"/>
      </c>
      <c r="L100" s="74" t="str">
        <f t="shared" si="13"/>
      </c>
      <c r="M100" s="75" t="str">
        <f t="shared" si="14"/>
      </c>
      <c r="N100" s="70"/>
      <c r="O100" s="71"/>
      <c r="P100" s="72"/>
      <c r="Q100" s="73" t="str">
        <f t="shared" si="15"/>
      </c>
      <c r="R100" s="74" t="str">
        <f t="shared" si="16"/>
      </c>
      <c r="S100" s="75" t="str">
        <f t="shared" si="17"/>
      </c>
      <c r="T100" s="70"/>
      <c r="U100" s="71"/>
      <c r="V100" s="72"/>
      <c r="W100" s="77" t="str">
        <f t="shared" si="18"/>
      </c>
      <c r="X100" s="74" t="str">
        <f t="shared" si="19"/>
      </c>
      <c r="Y100" s="75" t="str">
        <f t="shared" si="20"/>
      </c>
      <c r="Z100" s="78" t="str">
        <f t="shared" si="21"/>
      </c>
      <c r="AA100" s="79" t="str">
        <f t="shared" si="22"/>
      </c>
      <c r="AB100" s="80" t="str">
        <f t="shared" si="23"/>
      </c>
      <c r="AC100" s="81" t="str">
        <f t="array" ref="AC100">IF(AB100="","",IFERROR(INDEX(HELPER!$D$8:$D$48,IF(AB100&gt;=HELPER!$B$8,1,MATCH(AB100,HELPER!$B$8:$B$48,-1)+1)),""))</f>
      </c>
      <c r="AD100" s="82" t="str">
        <f>IF(AC100="","",IFERROR(VLOOKUP(AC100,HELPER!$F$8:$G$48,2,FALSE),""))</f>
      </c>
      <c r="AE100" s="3"/>
      <c r="AF100" s="4"/>
    </row>
    <row r="101" spans="1:32" ht="15" customHeight="1" x14ac:dyDescent="0.15">
      <c r="A101" s="3"/>
      <c r="B101" s="132">
        <v>33</v>
      </c>
      <c r="C101" s="181" t="str">
        <f>IF('INPUT DATA'!N43="","",'INPUT DATA'!N43)</f>
      </c>
      <c r="D101" s="182"/>
      <c r="E101" s="183"/>
      <c r="F101" s="70"/>
      <c r="G101" s="71"/>
      <c r="H101" s="71"/>
      <c r="I101" s="71"/>
      <c r="J101" s="72"/>
      <c r="K101" s="73" t="str">
        <f t="shared" si="12"/>
      </c>
      <c r="L101" s="74" t="str">
        <f t="shared" si="13"/>
      </c>
      <c r="M101" s="75" t="str">
        <f t="shared" si="14"/>
      </c>
      <c r="N101" s="70"/>
      <c r="O101" s="71"/>
      <c r="P101" s="72"/>
      <c r="Q101" s="73" t="str">
        <f t="shared" si="15"/>
      </c>
      <c r="R101" s="74" t="str">
        <f t="shared" si="16"/>
      </c>
      <c r="S101" s="75" t="str">
        <f t="shared" si="17"/>
      </c>
      <c r="T101" s="70"/>
      <c r="U101" s="71"/>
      <c r="V101" s="72"/>
      <c r="W101" s="77" t="str">
        <f t="shared" si="18"/>
      </c>
      <c r="X101" s="74" t="str">
        <f t="shared" si="19"/>
      </c>
      <c r="Y101" s="75" t="str">
        <f t="shared" si="20"/>
      </c>
      <c r="Z101" s="78" t="str">
        <f t="shared" si="21"/>
      </c>
      <c r="AA101" s="79" t="str">
        <f t="shared" si="22"/>
      </c>
      <c r="AB101" s="80" t="str">
        <f t="shared" si="23"/>
      </c>
      <c r="AC101" s="81" t="str">
        <f t="array" ref="AC101">IF(AB101="","",IFERROR(INDEX(HELPER!$D$8:$D$48,IF(AB101&gt;=HELPER!$B$8,1,MATCH(AB101,HELPER!$B$8:$B$48,-1)+1)),""))</f>
      </c>
      <c r="AD101" s="82" t="str">
        <f>IF(AC101="","",IFERROR(VLOOKUP(AC101,HELPER!$F$8:$G$48,2,FALSE),""))</f>
      </c>
      <c r="AE101" s="3"/>
      <c r="AF101" s="4"/>
    </row>
    <row r="102" spans="1:32" ht="15" customHeight="1" x14ac:dyDescent="0.15">
      <c r="A102" s="3"/>
      <c r="B102" s="132">
        <v>34</v>
      </c>
      <c r="C102" s="181" t="str">
        <f>IF('INPUT DATA'!N44="","",'INPUT DATA'!N44)</f>
      </c>
      <c r="D102" s="182"/>
      <c r="E102" s="183"/>
      <c r="F102" s="70"/>
      <c r="G102" s="71"/>
      <c r="H102" s="71"/>
      <c r="I102" s="71"/>
      <c r="J102" s="72"/>
      <c r="K102" s="73" t="str">
        <f t="shared" si="12"/>
      </c>
      <c r="L102" s="74" t="str">
        <f t="shared" si="13"/>
      </c>
      <c r="M102" s="75" t="str">
        <f t="shared" si="14"/>
      </c>
      <c r="N102" s="70"/>
      <c r="O102" s="71"/>
      <c r="P102" s="72"/>
      <c r="Q102" s="73" t="str">
        <f t="shared" si="15"/>
      </c>
      <c r="R102" s="74" t="str">
        <f t="shared" si="16"/>
      </c>
      <c r="S102" s="75" t="str">
        <f t="shared" si="17"/>
      </c>
      <c r="T102" s="70"/>
      <c r="U102" s="71"/>
      <c r="V102" s="72"/>
      <c r="W102" s="77" t="str">
        <f t="shared" si="18"/>
      </c>
      <c r="X102" s="74" t="str">
        <f t="shared" si="19"/>
      </c>
      <c r="Y102" s="75" t="str">
        <f t="shared" si="20"/>
      </c>
      <c r="Z102" s="78" t="str">
        <f t="shared" si="21"/>
      </c>
      <c r="AA102" s="79" t="str">
        <f t="shared" si="22"/>
      </c>
      <c r="AB102" s="80" t="str">
        <f t="shared" si="23"/>
      </c>
      <c r="AC102" s="81" t="str">
        <f t="array" ref="AC102">IF(AB102="","",IFERROR(INDEX(HELPER!$D$8:$D$48,IF(AB102&gt;=HELPER!$B$8,1,MATCH(AB102,HELPER!$B$8:$B$48,-1)+1)),""))</f>
      </c>
      <c r="AD102" s="82" t="str">
        <f>IF(AC102="","",IFERROR(VLOOKUP(AC102,HELPER!$F$8:$G$48,2,FALSE),""))</f>
      </c>
      <c r="AE102" s="3"/>
      <c r="AF102" s="4"/>
    </row>
    <row r="103" spans="1:32" ht="15" customHeight="1" x14ac:dyDescent="0.15">
      <c r="A103" s="3"/>
      <c r="B103" s="132">
        <v>35</v>
      </c>
      <c r="C103" s="181" t="str">
        <f>IF('INPUT DATA'!N45="","",'INPUT DATA'!N45)</f>
      </c>
      <c r="D103" s="182"/>
      <c r="E103" s="183"/>
      <c r="F103" s="70"/>
      <c r="G103" s="71"/>
      <c r="H103" s="71"/>
      <c r="I103" s="71"/>
      <c r="J103" s="72"/>
      <c r="K103" s="73" t="str">
        <f t="shared" si="12"/>
      </c>
      <c r="L103" s="74" t="str">
        <f t="shared" si="13"/>
      </c>
      <c r="M103" s="75" t="str">
        <f t="shared" si="14"/>
      </c>
      <c r="N103" s="70"/>
      <c r="O103" s="71"/>
      <c r="P103" s="72"/>
      <c r="Q103" s="73" t="str">
        <f t="shared" si="15"/>
      </c>
      <c r="R103" s="74" t="str">
        <f t="shared" si="16"/>
      </c>
      <c r="S103" s="75" t="str">
        <f t="shared" si="17"/>
      </c>
      <c r="T103" s="70"/>
      <c r="U103" s="71"/>
      <c r="V103" s="72"/>
      <c r="W103" s="77" t="str">
        <f t="shared" si="18"/>
      </c>
      <c r="X103" s="74" t="str">
        <f t="shared" si="19"/>
      </c>
      <c r="Y103" s="75" t="str">
        <f t="shared" si="20"/>
      </c>
      <c r="Z103" s="78" t="str">
        <f t="shared" si="21"/>
      </c>
      <c r="AA103" s="79" t="str">
        <f t="shared" si="22"/>
      </c>
      <c r="AB103" s="80" t="str">
        <f t="shared" si="23"/>
      </c>
      <c r="AC103" s="81" t="str">
        <f t="array" ref="AC103">IF(AB103="","",IFERROR(INDEX(HELPER!$D$8:$D$48,IF(AB103&gt;=HELPER!$B$8,1,MATCH(AB103,HELPER!$B$8:$B$48,-1)+1)),""))</f>
      </c>
      <c r="AD103" s="82" t="str">
        <f>IF(AC103="","",IFERROR(VLOOKUP(AC103,HELPER!$F$8:$G$48,2,FALSE),""))</f>
      </c>
      <c r="AE103" s="3"/>
      <c r="AF103" s="4"/>
    </row>
    <row r="104" spans="1:32" ht="15" customHeight="1" x14ac:dyDescent="0.15">
      <c r="A104" s="3"/>
      <c r="B104" s="132">
        <v>36</v>
      </c>
      <c r="C104" s="181" t="str">
        <f>IF('INPUT DATA'!N46="","",'INPUT DATA'!N46)</f>
      </c>
      <c r="D104" s="182"/>
      <c r="E104" s="183"/>
      <c r="F104" s="70"/>
      <c r="G104" s="71"/>
      <c r="H104" s="71"/>
      <c r="I104" s="71"/>
      <c r="J104" s="72"/>
      <c r="K104" s="73" t="str">
        <f t="shared" si="12"/>
      </c>
      <c r="L104" s="74" t="str">
        <f t="shared" si="13"/>
      </c>
      <c r="M104" s="75" t="str">
        <f t="shared" si="14"/>
      </c>
      <c r="N104" s="70"/>
      <c r="O104" s="71"/>
      <c r="P104" s="72"/>
      <c r="Q104" s="73" t="str">
        <f t="shared" si="15"/>
      </c>
      <c r="R104" s="74" t="str">
        <f t="shared" si="16"/>
      </c>
      <c r="S104" s="75" t="str">
        <f t="shared" si="17"/>
      </c>
      <c r="T104" s="70"/>
      <c r="U104" s="71"/>
      <c r="V104" s="72"/>
      <c r="W104" s="77" t="str">
        <f t="shared" si="18"/>
      </c>
      <c r="X104" s="74" t="str">
        <f t="shared" si="19"/>
      </c>
      <c r="Y104" s="75" t="str">
        <f t="shared" si="20"/>
      </c>
      <c r="Z104" s="78" t="str">
        <f t="shared" si="21"/>
      </c>
      <c r="AA104" s="79" t="str">
        <f t="shared" si="22"/>
      </c>
      <c r="AB104" s="80" t="str">
        <f t="shared" si="23"/>
      </c>
      <c r="AC104" s="81" t="str">
        <f t="array" ref="AC104">IF(AB104="","",IFERROR(INDEX(HELPER!$D$8:$D$48,IF(AB104&gt;=HELPER!$B$8,1,MATCH(AB104,HELPER!$B$8:$B$48,-1)+1)),""))</f>
      </c>
      <c r="AD104" s="82" t="str">
        <f>IF(AC104="","",IFERROR(VLOOKUP(AC104,HELPER!$F$8:$G$48,2,FALSE),""))</f>
      </c>
      <c r="AE104" s="3"/>
      <c r="AF104" s="4"/>
    </row>
    <row r="105" spans="1:32" ht="15" customHeight="1" x14ac:dyDescent="0.15">
      <c r="A105" s="3"/>
      <c r="B105" s="132">
        <v>37</v>
      </c>
      <c r="C105" s="181" t="str">
        <f>IF('INPUT DATA'!N47="","",'INPUT DATA'!N47)</f>
      </c>
      <c r="D105" s="182"/>
      <c r="E105" s="183"/>
      <c r="F105" s="70"/>
      <c r="G105" s="71"/>
      <c r="H105" s="71"/>
      <c r="I105" s="71"/>
      <c r="J105" s="72"/>
      <c r="K105" s="73" t="str">
        <f t="shared" si="12"/>
      </c>
      <c r="L105" s="74" t="str">
        <f t="shared" si="13"/>
      </c>
      <c r="M105" s="75" t="str">
        <f t="shared" si="14"/>
      </c>
      <c r="N105" s="70"/>
      <c r="O105" s="71"/>
      <c r="P105" s="72"/>
      <c r="Q105" s="73" t="str">
        <f t="shared" si="15"/>
      </c>
      <c r="R105" s="74" t="str">
        <f t="shared" si="16"/>
      </c>
      <c r="S105" s="75" t="str">
        <f t="shared" si="17"/>
      </c>
      <c r="T105" s="70"/>
      <c r="U105" s="71"/>
      <c r="V105" s="72"/>
      <c r="W105" s="77" t="str">
        <f t="shared" si="18"/>
      </c>
      <c r="X105" s="74" t="str">
        <f t="shared" si="19"/>
      </c>
      <c r="Y105" s="75" t="str">
        <f t="shared" si="20"/>
      </c>
      <c r="Z105" s="78" t="str">
        <f t="shared" si="21"/>
      </c>
      <c r="AA105" s="79" t="str">
        <f t="shared" si="22"/>
      </c>
      <c r="AB105" s="80" t="str">
        <f t="shared" si="23"/>
      </c>
      <c r="AC105" s="81" t="str">
        <f t="array" ref="AC105">IF(AB105="","",IFERROR(INDEX(HELPER!$D$8:$D$48,IF(AB105&gt;=HELPER!$B$8,1,MATCH(AB105,HELPER!$B$8:$B$48,-1)+1)),""))</f>
      </c>
      <c r="AD105" s="82" t="str">
        <f>IF(AC105="","",IFERROR(VLOOKUP(AC105,HELPER!$F$8:$G$48,2,FALSE),""))</f>
      </c>
      <c r="AE105" s="3"/>
      <c r="AF105" s="4"/>
    </row>
    <row r="106" spans="1:32" ht="15" customHeight="1" x14ac:dyDescent="0.15">
      <c r="A106" s="3"/>
      <c r="B106" s="132">
        <v>38</v>
      </c>
      <c r="C106" s="181" t="str">
        <f>IF('INPUT DATA'!N48="","",'INPUT DATA'!N48)</f>
      </c>
      <c r="D106" s="182"/>
      <c r="E106" s="183"/>
      <c r="F106" s="70"/>
      <c r="G106" s="71"/>
      <c r="H106" s="71"/>
      <c r="I106" s="71"/>
      <c r="J106" s="72"/>
      <c r="K106" s="73" t="str">
        <f t="shared" si="12"/>
      </c>
      <c r="L106" s="74" t="str">
        <f t="shared" si="13"/>
      </c>
      <c r="M106" s="75" t="str">
        <f t="shared" si="14"/>
      </c>
      <c r="N106" s="70"/>
      <c r="O106" s="71"/>
      <c r="P106" s="72"/>
      <c r="Q106" s="73" t="str">
        <f t="shared" si="15"/>
      </c>
      <c r="R106" s="74" t="str">
        <f t="shared" si="16"/>
      </c>
      <c r="S106" s="75" t="str">
        <f t="shared" si="17"/>
      </c>
      <c r="T106" s="70"/>
      <c r="U106" s="71"/>
      <c r="V106" s="72"/>
      <c r="W106" s="77" t="str">
        <f t="shared" si="18"/>
      </c>
      <c r="X106" s="74" t="str">
        <f t="shared" si="19"/>
      </c>
      <c r="Y106" s="75" t="str">
        <f t="shared" si="20"/>
      </c>
      <c r="Z106" s="78" t="str">
        <f t="shared" si="21"/>
      </c>
      <c r="AA106" s="79" t="str">
        <f t="shared" si="22"/>
      </c>
      <c r="AB106" s="80" t="str">
        <f t="shared" si="23"/>
      </c>
      <c r="AC106" s="81" t="str">
        <f t="array" ref="AC106">IF(AB106="","",IFERROR(INDEX(HELPER!$D$8:$D$48,IF(AB106&gt;=HELPER!$B$8,1,MATCH(AB106,HELPER!$B$8:$B$48,-1)+1)),""))</f>
      </c>
      <c r="AD106" s="82" t="str">
        <f>IF(AC106="","",IFERROR(VLOOKUP(AC106,HELPER!$F$8:$G$48,2,FALSE),""))</f>
      </c>
      <c r="AE106" s="3"/>
      <c r="AF106" s="4"/>
    </row>
    <row r="107" spans="1:32" ht="15" customHeight="1" x14ac:dyDescent="0.15">
      <c r="A107" s="3"/>
      <c r="B107" s="132">
        <v>39</v>
      </c>
      <c r="C107" s="181" t="str">
        <f>IF('INPUT DATA'!N49="","",'INPUT DATA'!N49)</f>
      </c>
      <c r="D107" s="182"/>
      <c r="E107" s="183"/>
      <c r="F107" s="70"/>
      <c r="G107" s="71"/>
      <c r="H107" s="71"/>
      <c r="I107" s="71"/>
      <c r="J107" s="72"/>
      <c r="K107" s="73" t="str">
        <f t="shared" si="12"/>
      </c>
      <c r="L107" s="74" t="str">
        <f t="shared" si="13"/>
      </c>
      <c r="M107" s="75" t="str">
        <f t="shared" si="14"/>
      </c>
      <c r="N107" s="70"/>
      <c r="O107" s="71"/>
      <c r="P107" s="72"/>
      <c r="Q107" s="73" t="str">
        <f t="shared" si="15"/>
      </c>
      <c r="R107" s="74" t="str">
        <f t="shared" si="16"/>
      </c>
      <c r="S107" s="75" t="str">
        <f t="shared" si="17"/>
      </c>
      <c r="T107" s="70"/>
      <c r="U107" s="71"/>
      <c r="V107" s="72"/>
      <c r="W107" s="77" t="str">
        <f t="shared" si="18"/>
      </c>
      <c r="X107" s="74" t="str">
        <f t="shared" si="19"/>
      </c>
      <c r="Y107" s="75" t="str">
        <f t="shared" si="20"/>
      </c>
      <c r="Z107" s="78" t="str">
        <f t="shared" si="21"/>
      </c>
      <c r="AA107" s="79" t="str">
        <f t="shared" si="22"/>
      </c>
      <c r="AB107" s="80" t="str">
        <f t="shared" si="23"/>
      </c>
      <c r="AC107" s="81" t="str">
        <f t="array" ref="AC107">IF(AB107="","",IFERROR(INDEX(HELPER!$D$8:$D$48,IF(AB107&gt;=HELPER!$B$8,1,MATCH(AB107,HELPER!$B$8:$B$48,-1)+1)),""))</f>
      </c>
      <c r="AD107" s="82" t="str">
        <f>IF(AC107="","",IFERROR(VLOOKUP(AC107,HELPER!$F$8:$G$48,2,FALSE),""))</f>
      </c>
      <c r="AE107" s="3"/>
      <c r="AF107" s="4"/>
    </row>
    <row r="108" spans="1:32" ht="15" customHeight="1" x14ac:dyDescent="0.15">
      <c r="A108" s="3"/>
      <c r="B108" s="132">
        <v>40</v>
      </c>
      <c r="C108" s="181" t="str">
        <f>IF('INPUT DATA'!N50="","",'INPUT DATA'!N50)</f>
      </c>
      <c r="D108" s="182"/>
      <c r="E108" s="183"/>
      <c r="F108" s="70"/>
      <c r="G108" s="71"/>
      <c r="H108" s="71"/>
      <c r="I108" s="71"/>
      <c r="J108" s="72"/>
      <c r="K108" s="73" t="str">
        <f t="shared" si="12"/>
      </c>
      <c r="L108" s="74" t="str">
        <f t="shared" si="13"/>
      </c>
      <c r="M108" s="75" t="str">
        <f t="shared" si="14"/>
      </c>
      <c r="N108" s="70"/>
      <c r="O108" s="71"/>
      <c r="P108" s="72"/>
      <c r="Q108" s="73" t="str">
        <f t="shared" si="15"/>
      </c>
      <c r="R108" s="74" t="str">
        <f t="shared" si="16"/>
      </c>
      <c r="S108" s="75" t="str">
        <f t="shared" si="17"/>
      </c>
      <c r="T108" s="70"/>
      <c r="U108" s="71"/>
      <c r="V108" s="72"/>
      <c r="W108" s="77" t="str">
        <f t="shared" si="18"/>
      </c>
      <c r="X108" s="74" t="str">
        <f t="shared" si="19"/>
      </c>
      <c r="Y108" s="75" t="str">
        <f t="shared" si="20"/>
      </c>
      <c r="Z108" s="78" t="str">
        <f t="shared" si="21"/>
      </c>
      <c r="AA108" s="79" t="str">
        <f t="shared" si="22"/>
      </c>
      <c r="AB108" s="80" t="str">
        <f t="shared" si="23"/>
      </c>
      <c r="AC108" s="81" t="str">
        <f t="array" ref="AC108">IF(AB108="","",IFERROR(INDEX(HELPER!$D$8:$D$48,IF(AB108&gt;=HELPER!$B$8,1,MATCH(AB108,HELPER!$B$8:$B$48,-1)+1)),""))</f>
      </c>
      <c r="AD108" s="82" t="str">
        <f>IF(AC108="","",IFERROR(VLOOKUP(AC108,HELPER!$F$8:$G$48,2,FALSE),""))</f>
      </c>
      <c r="AE108" s="3"/>
      <c r="AF108" s="4"/>
    </row>
    <row r="109" spans="1:32" ht="15" customHeight="1" x14ac:dyDescent="0.15">
      <c r="A109" s="3"/>
      <c r="B109" s="132">
        <v>41</v>
      </c>
      <c r="C109" s="181" t="str">
        <f>IF('INPUT DATA'!N51="","",'INPUT DATA'!N51)</f>
      </c>
      <c r="D109" s="182"/>
      <c r="E109" s="183"/>
      <c r="F109" s="70"/>
      <c r="G109" s="71"/>
      <c r="H109" s="71"/>
      <c r="I109" s="71"/>
      <c r="J109" s="72"/>
      <c r="K109" s="73" t="str">
        <f t="shared" si="12"/>
      </c>
      <c r="L109" s="74" t="str">
        <f t="shared" si="13"/>
      </c>
      <c r="M109" s="75" t="str">
        <f t="shared" si="14"/>
      </c>
      <c r="N109" s="70"/>
      <c r="O109" s="71"/>
      <c r="P109" s="72"/>
      <c r="Q109" s="73" t="str">
        <f t="shared" si="15"/>
      </c>
      <c r="R109" s="74" t="str">
        <f t="shared" si="16"/>
      </c>
      <c r="S109" s="75" t="str">
        <f t="shared" si="17"/>
      </c>
      <c r="T109" s="70"/>
      <c r="U109" s="71"/>
      <c r="V109" s="72"/>
      <c r="W109" s="77" t="str">
        <f t="shared" si="18"/>
      </c>
      <c r="X109" s="74" t="str">
        <f t="shared" si="19"/>
      </c>
      <c r="Y109" s="75" t="str">
        <f t="shared" si="20"/>
      </c>
      <c r="Z109" s="78" t="str">
        <f t="shared" si="21"/>
      </c>
      <c r="AA109" s="79" t="str">
        <f t="shared" si="22"/>
      </c>
      <c r="AB109" s="80" t="str">
        <f t="shared" si="23"/>
      </c>
      <c r="AC109" s="81" t="str">
        <f t="array" ref="AC109">IF(AB109="","",IFERROR(INDEX(HELPER!$D$8:$D$48,IF(AB109&gt;=HELPER!$B$8,1,MATCH(AB109,HELPER!$B$8:$B$48,-1)+1)),""))</f>
      </c>
      <c r="AD109" s="82" t="str">
        <f>IF(AC109="","",IFERROR(VLOOKUP(AC109,HELPER!$F$8:$G$48,2,FALSE),""))</f>
      </c>
      <c r="AE109" s="3"/>
      <c r="AF109" s="4"/>
    </row>
    <row r="110" spans="1:32" ht="15" customHeight="1" x14ac:dyDescent="0.15">
      <c r="A110" s="3"/>
      <c r="B110" s="132">
        <v>42</v>
      </c>
      <c r="C110" s="181" t="str">
        <f>IF('INPUT DATA'!N52="","",'INPUT DATA'!N52)</f>
      </c>
      <c r="D110" s="182"/>
      <c r="E110" s="183"/>
      <c r="F110" s="70"/>
      <c r="G110" s="71"/>
      <c r="H110" s="71"/>
      <c r="I110" s="71"/>
      <c r="J110" s="72"/>
      <c r="K110" s="73" t="str">
        <f t="shared" si="12"/>
      </c>
      <c r="L110" s="74" t="str">
        <f t="shared" si="13"/>
      </c>
      <c r="M110" s="75" t="str">
        <f t="shared" si="14"/>
      </c>
      <c r="N110" s="70"/>
      <c r="O110" s="71"/>
      <c r="P110" s="72"/>
      <c r="Q110" s="73" t="str">
        <f t="shared" si="15"/>
      </c>
      <c r="R110" s="74" t="str">
        <f t="shared" si="16"/>
      </c>
      <c r="S110" s="75" t="str">
        <f t="shared" si="17"/>
      </c>
      <c r="T110" s="70"/>
      <c r="U110" s="71"/>
      <c r="V110" s="72"/>
      <c r="W110" s="77" t="str">
        <f t="shared" si="18"/>
      </c>
      <c r="X110" s="74" t="str">
        <f t="shared" si="19"/>
      </c>
      <c r="Y110" s="75" t="str">
        <f t="shared" si="20"/>
      </c>
      <c r="Z110" s="78" t="str">
        <f t="shared" si="21"/>
      </c>
      <c r="AA110" s="79" t="str">
        <f t="shared" si="22"/>
      </c>
      <c r="AB110" s="80" t="str">
        <f t="shared" si="23"/>
      </c>
      <c r="AC110" s="81" t="str">
        <f t="array" ref="AC110">IF(AB110="","",IFERROR(INDEX(HELPER!$D$8:$D$48,IF(AB110&gt;=HELPER!$B$8,1,MATCH(AB110,HELPER!$B$8:$B$48,-1)+1)),""))</f>
      </c>
      <c r="AD110" s="82" t="str">
        <f>IF(AC110="","",IFERROR(VLOOKUP(AC110,HELPER!$F$8:$G$48,2,FALSE),""))</f>
      </c>
      <c r="AE110" s="3"/>
      <c r="AF110" s="4"/>
    </row>
    <row r="111" spans="1:32" ht="15" customHeight="1" x14ac:dyDescent="0.15">
      <c r="A111" s="3"/>
      <c r="B111" s="132">
        <v>43</v>
      </c>
      <c r="C111" s="181" t="str">
        <f>IF('INPUT DATA'!N53="","",'INPUT DATA'!N53)</f>
      </c>
      <c r="D111" s="182"/>
      <c r="E111" s="183"/>
      <c r="F111" s="70"/>
      <c r="G111" s="71"/>
      <c r="H111" s="71"/>
      <c r="I111" s="71"/>
      <c r="J111" s="72"/>
      <c r="K111" s="73" t="str">
        <f t="shared" si="12"/>
      </c>
      <c r="L111" s="74" t="str">
        <f t="shared" si="13"/>
      </c>
      <c r="M111" s="75" t="str">
        <f t="shared" si="14"/>
      </c>
      <c r="N111" s="70"/>
      <c r="O111" s="71"/>
      <c r="P111" s="72"/>
      <c r="Q111" s="73" t="str">
        <f t="shared" si="15"/>
      </c>
      <c r="R111" s="74" t="str">
        <f t="shared" si="16"/>
      </c>
      <c r="S111" s="75" t="str">
        <f t="shared" si="17"/>
      </c>
      <c r="T111" s="70"/>
      <c r="U111" s="71"/>
      <c r="V111" s="72"/>
      <c r="W111" s="77" t="str">
        <f t="shared" si="18"/>
      </c>
      <c r="X111" s="74" t="str">
        <f t="shared" si="19"/>
      </c>
      <c r="Y111" s="75" t="str">
        <f t="shared" si="20"/>
      </c>
      <c r="Z111" s="78" t="str">
        <f t="shared" si="21"/>
      </c>
      <c r="AA111" s="79" t="str">
        <f t="shared" si="22"/>
      </c>
      <c r="AB111" s="80" t="str">
        <f t="shared" si="23"/>
      </c>
      <c r="AC111" s="81" t="str">
        <f t="array" ref="AC111">IF(AB111="","",IFERROR(INDEX(HELPER!$D$8:$D$48,IF(AB111&gt;=HELPER!$B$8,1,MATCH(AB111,HELPER!$B$8:$B$48,-1)+1)),""))</f>
      </c>
      <c r="AD111" s="82" t="str">
        <f>IF(AC111="","",IFERROR(VLOOKUP(AC111,HELPER!$F$8:$G$48,2,FALSE),""))</f>
      </c>
      <c r="AE111" s="3"/>
      <c r="AF111" s="4"/>
    </row>
    <row r="112" spans="1:32" ht="15" customHeight="1" x14ac:dyDescent="0.15">
      <c r="A112" s="3"/>
      <c r="B112" s="132">
        <v>44</v>
      </c>
      <c r="C112" s="181" t="str">
        <f>IF('INPUT DATA'!N54="","",'INPUT DATA'!N54)</f>
      </c>
      <c r="D112" s="182"/>
      <c r="E112" s="183"/>
      <c r="F112" s="70"/>
      <c r="G112" s="71"/>
      <c r="H112" s="71"/>
      <c r="I112" s="71"/>
      <c r="J112" s="72"/>
      <c r="K112" s="73" t="str">
        <f t="shared" si="12"/>
      </c>
      <c r="L112" s="74" t="str">
        <f t="shared" si="13"/>
      </c>
      <c r="M112" s="75" t="str">
        <f t="shared" si="14"/>
      </c>
      <c r="N112" s="70"/>
      <c r="O112" s="71"/>
      <c r="P112" s="72"/>
      <c r="Q112" s="73" t="str">
        <f t="shared" si="15"/>
      </c>
      <c r="R112" s="74" t="str">
        <f t="shared" si="16"/>
      </c>
      <c r="S112" s="75" t="str">
        <f t="shared" si="17"/>
      </c>
      <c r="T112" s="70"/>
      <c r="U112" s="71"/>
      <c r="V112" s="72"/>
      <c r="W112" s="77" t="str">
        <f t="shared" si="18"/>
      </c>
      <c r="X112" s="74" t="str">
        <f t="shared" si="19"/>
      </c>
      <c r="Y112" s="75" t="str">
        <f t="shared" si="20"/>
      </c>
      <c r="Z112" s="78" t="str">
        <f t="shared" si="21"/>
      </c>
      <c r="AA112" s="79" t="str">
        <f t="shared" si="22"/>
      </c>
      <c r="AB112" s="80" t="str">
        <f t="shared" si="23"/>
      </c>
      <c r="AC112" s="81" t="str">
        <f t="array" ref="AC112">IF(AB112="","",IFERROR(INDEX(HELPER!$D$8:$D$48,IF(AB112&gt;=HELPER!$B$8,1,MATCH(AB112,HELPER!$B$8:$B$48,-1)+1)),""))</f>
      </c>
      <c r="AD112" s="82" t="str">
        <f>IF(AC112="","",IFERROR(VLOOKUP(AC112,HELPER!$F$8:$G$48,2,FALSE),""))</f>
      </c>
      <c r="AE112" s="3"/>
      <c r="AF112" s="4"/>
    </row>
    <row r="113" spans="1:32" ht="15" customHeight="1" x14ac:dyDescent="0.15">
      <c r="A113" s="3"/>
      <c r="B113" s="132">
        <v>45</v>
      </c>
      <c r="C113" s="181" t="str">
        <f>IF('INPUT DATA'!N55="","",'INPUT DATA'!N55)</f>
      </c>
      <c r="D113" s="182"/>
      <c r="E113" s="183"/>
      <c r="F113" s="70"/>
      <c r="G113" s="71"/>
      <c r="H113" s="71"/>
      <c r="I113" s="71"/>
      <c r="J113" s="72"/>
      <c r="K113" s="73" t="str">
        <f t="shared" si="12"/>
      </c>
      <c r="L113" s="74" t="str">
        <f t="shared" si="13"/>
      </c>
      <c r="M113" s="75" t="str">
        <f t="shared" si="14"/>
      </c>
      <c r="N113" s="70"/>
      <c r="O113" s="71"/>
      <c r="P113" s="72"/>
      <c r="Q113" s="73" t="str">
        <f t="shared" si="15"/>
      </c>
      <c r="R113" s="74" t="str">
        <f t="shared" si="16"/>
      </c>
      <c r="S113" s="75" t="str">
        <f t="shared" si="17"/>
      </c>
      <c r="T113" s="70"/>
      <c r="U113" s="71"/>
      <c r="V113" s="72"/>
      <c r="W113" s="77" t="str">
        <f t="shared" si="18"/>
      </c>
      <c r="X113" s="74" t="str">
        <f t="shared" si="19"/>
      </c>
      <c r="Y113" s="75" t="str">
        <f t="shared" si="20"/>
      </c>
      <c r="Z113" s="78" t="str">
        <f t="shared" si="21"/>
      </c>
      <c r="AA113" s="79" t="str">
        <f t="shared" si="22"/>
      </c>
      <c r="AB113" s="80" t="str">
        <f t="shared" si="23"/>
      </c>
      <c r="AC113" s="81" t="str">
        <f t="array" ref="AC113">IF(AB113="","",IFERROR(INDEX(HELPER!$D$8:$D$48,IF(AB113&gt;=HELPER!$B$8,1,MATCH(AB113,HELPER!$B$8:$B$48,-1)+1)),""))</f>
      </c>
      <c r="AD113" s="82" t="str">
        <f>IF(AC113="","",IFERROR(VLOOKUP(AC113,HELPER!$F$8:$G$48,2,FALSE),""))</f>
      </c>
      <c r="AE113" s="3"/>
      <c r="AF113" s="4"/>
    </row>
    <row r="114" spans="1:32" ht="15" customHeight="1" x14ac:dyDescent="0.15">
      <c r="A114" s="3"/>
      <c r="B114" s="132">
        <v>46</v>
      </c>
      <c r="C114" s="181" t="str">
        <f>IF('INPUT DATA'!N56="","",'INPUT DATA'!N56)</f>
      </c>
      <c r="D114" s="182"/>
      <c r="E114" s="183"/>
      <c r="F114" s="70"/>
      <c r="G114" s="71"/>
      <c r="H114" s="71"/>
      <c r="I114" s="71"/>
      <c r="J114" s="72"/>
      <c r="K114" s="73" t="str">
        <f t="shared" si="12"/>
      </c>
      <c r="L114" s="74" t="str">
        <f t="shared" si="13"/>
      </c>
      <c r="M114" s="75" t="str">
        <f t="shared" si="14"/>
      </c>
      <c r="N114" s="70"/>
      <c r="O114" s="71"/>
      <c r="P114" s="72"/>
      <c r="Q114" s="73" t="str">
        <f t="shared" si="15"/>
      </c>
      <c r="R114" s="74" t="str">
        <f t="shared" si="16"/>
      </c>
      <c r="S114" s="75" t="str">
        <f t="shared" si="17"/>
      </c>
      <c r="T114" s="70"/>
      <c r="U114" s="71"/>
      <c r="V114" s="72"/>
      <c r="W114" s="77" t="str">
        <f t="shared" si="18"/>
      </c>
      <c r="X114" s="74" t="str">
        <f t="shared" si="19"/>
      </c>
      <c r="Y114" s="75" t="str">
        <f t="shared" si="20"/>
      </c>
      <c r="Z114" s="78" t="str">
        <f t="shared" si="21"/>
      </c>
      <c r="AA114" s="79" t="str">
        <f t="shared" si="22"/>
      </c>
      <c r="AB114" s="80" t="str">
        <f t="shared" si="23"/>
      </c>
      <c r="AC114" s="81" t="str">
        <f t="array" ref="AC114">IF(AB114="","",IFERROR(INDEX(HELPER!$D$8:$D$48,IF(AB114&gt;=HELPER!$B$8,1,MATCH(AB114,HELPER!$B$8:$B$48,-1)+1)),""))</f>
      </c>
      <c r="AD114" s="82" t="str">
        <f>IF(AC114="","",IFERROR(VLOOKUP(AC114,HELPER!$F$8:$G$48,2,FALSE),""))</f>
      </c>
      <c r="AE114" s="3"/>
      <c r="AF114" s="4"/>
    </row>
    <row r="115" spans="1:32" ht="15" customHeight="1" x14ac:dyDescent="0.15">
      <c r="A115" s="3"/>
      <c r="B115" s="132">
        <v>47</v>
      </c>
      <c r="C115" s="181" t="str">
        <f>IF('INPUT DATA'!N57="","",'INPUT DATA'!N57)</f>
      </c>
      <c r="D115" s="182"/>
      <c r="E115" s="183"/>
      <c r="F115" s="70"/>
      <c r="G115" s="71"/>
      <c r="H115" s="71"/>
      <c r="I115" s="71"/>
      <c r="J115" s="72"/>
      <c r="K115" s="73" t="str">
        <f t="shared" si="12"/>
      </c>
      <c r="L115" s="74" t="str">
        <f t="shared" si="13"/>
      </c>
      <c r="M115" s="75" t="str">
        <f t="shared" si="14"/>
      </c>
      <c r="N115" s="70"/>
      <c r="O115" s="71"/>
      <c r="P115" s="72"/>
      <c r="Q115" s="73" t="str">
        <f t="shared" si="15"/>
      </c>
      <c r="R115" s="74" t="str">
        <f t="shared" si="16"/>
      </c>
      <c r="S115" s="75" t="str">
        <f t="shared" si="17"/>
      </c>
      <c r="T115" s="70"/>
      <c r="U115" s="71"/>
      <c r="V115" s="72"/>
      <c r="W115" s="77" t="str">
        <f t="shared" si="18"/>
      </c>
      <c r="X115" s="74" t="str">
        <f t="shared" si="19"/>
      </c>
      <c r="Y115" s="75" t="str">
        <f t="shared" si="20"/>
      </c>
      <c r="Z115" s="78" t="str">
        <f t="shared" si="21"/>
      </c>
      <c r="AA115" s="79" t="str">
        <f t="shared" si="22"/>
      </c>
      <c r="AB115" s="80" t="str">
        <f t="shared" si="23"/>
      </c>
      <c r="AC115" s="81" t="str">
        <f t="array" ref="AC115">IF(AB115="","",IFERROR(INDEX(HELPER!$D$8:$D$48,IF(AB115&gt;=HELPER!$B$8,1,MATCH(AB115,HELPER!$B$8:$B$48,-1)+1)),""))</f>
      </c>
      <c r="AD115" s="82" t="str">
        <f>IF(AC115="","",IFERROR(VLOOKUP(AC115,HELPER!$F$8:$G$48,2,FALSE),""))</f>
      </c>
      <c r="AE115" s="3"/>
      <c r="AF115" s="4"/>
    </row>
    <row r="116" spans="1:32" ht="15" customHeight="1" x14ac:dyDescent="0.15">
      <c r="A116" s="3"/>
      <c r="B116" s="132">
        <v>48</v>
      </c>
      <c r="C116" s="181" t="str">
        <f>IF('INPUT DATA'!N58="","",'INPUT DATA'!N58)</f>
      </c>
      <c r="D116" s="182"/>
      <c r="E116" s="183"/>
      <c r="F116" s="70"/>
      <c r="G116" s="71"/>
      <c r="H116" s="71"/>
      <c r="I116" s="71"/>
      <c r="J116" s="72"/>
      <c r="K116" s="73" t="str">
        <f t="shared" si="12"/>
      </c>
      <c r="L116" s="74" t="str">
        <f t="shared" si="13"/>
      </c>
      <c r="M116" s="75" t="str">
        <f t="shared" si="14"/>
      </c>
      <c r="N116" s="70"/>
      <c r="O116" s="71"/>
      <c r="P116" s="72"/>
      <c r="Q116" s="73" t="str">
        <f t="shared" si="15"/>
      </c>
      <c r="R116" s="74" t="str">
        <f t="shared" si="16"/>
      </c>
      <c r="S116" s="75" t="str">
        <f t="shared" si="17"/>
      </c>
      <c r="T116" s="70"/>
      <c r="U116" s="71"/>
      <c r="V116" s="72"/>
      <c r="W116" s="77" t="str">
        <f t="shared" si="18"/>
      </c>
      <c r="X116" s="74" t="str">
        <f t="shared" si="19"/>
      </c>
      <c r="Y116" s="75" t="str">
        <f t="shared" si="20"/>
      </c>
      <c r="Z116" s="78" t="str">
        <f t="shared" si="21"/>
      </c>
      <c r="AA116" s="79" t="str">
        <f t="shared" si="22"/>
      </c>
      <c r="AB116" s="80" t="str">
        <f t="shared" si="23"/>
      </c>
      <c r="AC116" s="81" t="str">
        <f t="array" ref="AC116">IF(AB116="","",IFERROR(INDEX(HELPER!$D$8:$D$48,IF(AB116&gt;=HELPER!$B$8,1,MATCH(AB116,HELPER!$B$8:$B$48,-1)+1)),""))</f>
      </c>
      <c r="AD116" s="82" t="str">
        <f>IF(AC116="","",IFERROR(VLOOKUP(AC116,HELPER!$F$8:$G$48,2,FALSE),""))</f>
      </c>
      <c r="AE116" s="3"/>
      <c r="AF116" s="4"/>
    </row>
    <row r="117" spans="1:32" ht="15" customHeight="1" x14ac:dyDescent="0.15">
      <c r="A117" s="3"/>
      <c r="B117" s="132">
        <v>49</v>
      </c>
      <c r="C117" s="181" t="str">
        <f>IF('INPUT DATA'!N59="","",'INPUT DATA'!N59)</f>
      </c>
      <c r="D117" s="182"/>
      <c r="E117" s="183"/>
      <c r="F117" s="70"/>
      <c r="G117" s="71"/>
      <c r="H117" s="71"/>
      <c r="I117" s="71"/>
      <c r="J117" s="72"/>
      <c r="K117" s="73" t="str">
        <f t="shared" si="12"/>
      </c>
      <c r="L117" s="74" t="str">
        <f t="shared" si="13"/>
      </c>
      <c r="M117" s="75" t="str">
        <f t="shared" si="14"/>
      </c>
      <c r="N117" s="70"/>
      <c r="O117" s="71"/>
      <c r="P117" s="72"/>
      <c r="Q117" s="73" t="str">
        <f t="shared" si="15"/>
      </c>
      <c r="R117" s="74" t="str">
        <f t="shared" si="16"/>
      </c>
      <c r="S117" s="75" t="str">
        <f t="shared" si="17"/>
      </c>
      <c r="T117" s="70"/>
      <c r="U117" s="71"/>
      <c r="V117" s="72"/>
      <c r="W117" s="77" t="str">
        <f t="shared" si="18"/>
      </c>
      <c r="X117" s="74" t="str">
        <f t="shared" si="19"/>
      </c>
      <c r="Y117" s="75" t="str">
        <f t="shared" si="20"/>
      </c>
      <c r="Z117" s="78" t="str">
        <f t="shared" si="21"/>
      </c>
      <c r="AA117" s="79" t="str">
        <f t="shared" si="22"/>
      </c>
      <c r="AB117" s="80" t="str">
        <f t="shared" si="23"/>
      </c>
      <c r="AC117" s="81" t="str">
        <f t="array" ref="AC117">IF(AB117="","",IFERROR(INDEX(HELPER!$D$8:$D$48,IF(AB117&gt;=HELPER!$B$8,1,MATCH(AB117,HELPER!$B$8:$B$48,-1)+1)),""))</f>
      </c>
      <c r="AD117" s="82" t="str">
        <f>IF(AC117="","",IFERROR(VLOOKUP(AC117,HELPER!$F$8:$G$48,2,FALSE),""))</f>
      </c>
      <c r="AE117" s="3"/>
      <c r="AF117" s="4"/>
    </row>
    <row r="118" spans="1:32" ht="15" customHeight="1" x14ac:dyDescent="0.15">
      <c r="A118" s="3"/>
      <c r="B118" s="135">
        <v>50</v>
      </c>
      <c r="C118" s="190" t="str">
        <f>IF('INPUT DATA'!N60="","",'INPUT DATA'!N60)</f>
      </c>
      <c r="D118" s="191"/>
      <c r="E118" s="192"/>
      <c r="F118" s="112"/>
      <c r="G118" s="113"/>
      <c r="H118" s="113"/>
      <c r="I118" s="113"/>
      <c r="J118" s="114"/>
      <c r="K118" s="136" t="str">
        <f t="shared" si="12"/>
      </c>
      <c r="L118" s="137" t="str">
        <f t="shared" si="13"/>
      </c>
      <c r="M118" s="138" t="str">
        <f t="shared" si="14"/>
      </c>
      <c r="N118" s="112"/>
      <c r="O118" s="113"/>
      <c r="P118" s="114"/>
      <c r="Q118" s="136" t="str">
        <f t="shared" si="15"/>
      </c>
      <c r="R118" s="137" t="str">
        <f t="shared" si="16"/>
      </c>
      <c r="S118" s="138" t="str">
        <f t="shared" si="17"/>
      </c>
      <c r="T118" s="112"/>
      <c r="U118" s="113"/>
      <c r="V118" s="114"/>
      <c r="W118" s="139" t="str">
        <f t="shared" si="18"/>
      </c>
      <c r="X118" s="137" t="str">
        <f t="shared" si="19"/>
      </c>
      <c r="Y118" s="138" t="str">
        <f t="shared" si="20"/>
      </c>
      <c r="Z118" s="140" t="str">
        <f t="shared" si="21"/>
      </c>
      <c r="AA118" s="141" t="str">
        <f t="shared" si="22"/>
      </c>
      <c r="AB118" s="142" t="str">
        <f t="shared" si="23"/>
      </c>
      <c r="AC118" s="115" t="str">
        <f t="array" ref="AC118">IF(AB118="","",IFERROR(INDEX(HELPER!$D$8:$D$48,IF(AB118&gt;=HELPER!$B$8,1,MATCH(AB118,HELPER!$B$8:$B$48,-1)+1)),""))</f>
      </c>
      <c r="AD118" s="116" t="str">
        <f>IF(AC118="","",IFERROR(VLOOKUP(AC118,HELPER!$F$8:$G$48,2,FALSE),""))</f>
      </c>
      <c r="AE118" s="3"/>
      <c r="AF118" s="4"/>
    </row>
    <row r="119" spans="1:32" ht="15.75" customHeight="1" x14ac:dyDescent="0.15">
      <c r="A119" s="3"/>
      <c r="B119" s="3"/>
      <c r="C119" s="193"/>
      <c r="D119" s="194"/>
      <c r="E119" s="194"/>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4"/>
    </row>
    <row r="120" spans="1:32" ht="15.75" customHeight="1" x14ac:dyDescent="0.15">
      <c r="A120" s="3"/>
      <c r="B120" s="3"/>
      <c r="C120" s="193"/>
      <c r="D120" s="194"/>
      <c r="E120" s="194"/>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4"/>
    </row>
    <row r="121" spans="1:32" ht="15.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5.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5.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5.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5.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5.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5.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5.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5.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5.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5.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5.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5.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5.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5.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5.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5.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5.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5.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5.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5.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5.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5.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5.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5.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5.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5.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5.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5.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5.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5.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5.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5.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5.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5.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5.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5.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5.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5.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5.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5.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5.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5.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5.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5.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5.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5.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5.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5.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5.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5.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5.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5.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5.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5.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5.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5.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5.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5.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5.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5.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5.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5.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5.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5.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5.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5.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5.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5.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5.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5.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5.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5.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5.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5.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5.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5.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5.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5.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5.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5.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5.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5.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5.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5.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5.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5.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5.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5.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5.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5.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5.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5.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5.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5.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5.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5.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5.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5.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5.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5.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5.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5.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5.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5.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5.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5.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5.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5.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5.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5.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5.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5.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5.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5.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5.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5.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5.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5.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5.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5.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5.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5.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5.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5.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5.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5.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5.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5.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5.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5.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5.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5.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5.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5.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5.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5.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5.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5.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5.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5.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5.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5.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5.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5.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5.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5.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5.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5.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5.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5.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5.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5.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5.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5.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5.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5.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5.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5.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5.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5.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5.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5.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5.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5.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5.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5.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5.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5.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5.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5.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5.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5.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5.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5.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5.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5.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5.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5.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5.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5.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5.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5.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5.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5.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5.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5.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5.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5.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5.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5.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5.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5.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5.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5.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5.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5.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5.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5.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5.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5.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5.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5.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5.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5.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5.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5.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5.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5.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5.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5.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5.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5.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5.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5.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5.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5.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5.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5.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5.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5.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5.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5.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5.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5.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5.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5.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5.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5.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5.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5.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5.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5.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5.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5.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5.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5.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5.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5.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5.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5.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5.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5.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5.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5.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5.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5.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5.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5.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5.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5.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5.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5.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5.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5.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5.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5.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5.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5.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5.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5.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5.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5.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5.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5.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5.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5.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5.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5.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5.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5.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5.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5.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5.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5.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5.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5.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5.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5.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5.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5.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5.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5.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5.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5.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5.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5.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5.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5.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5.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5.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5.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5.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5.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5.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5.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5.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5.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5.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5.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5.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5.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5.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5.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5.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5.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5.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5.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5.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5.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5.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5.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5.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5.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5.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5.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5.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5.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5.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5.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5.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5.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5.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5.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5.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5.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5.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5.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5.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5.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5.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5.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5.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5.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5.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5.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5.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5.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5.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5.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5.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5.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5.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5.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5.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5.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5.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5.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5.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5.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5.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5.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5.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5.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5.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5.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5.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5.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5.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5.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5.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5.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5.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5.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5.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5.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5.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5.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5.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5.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5.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5.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5.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5.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5.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5.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5.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5.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5.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5.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5.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5.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5.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5.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5.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5.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5.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5.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5.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5.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5.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5.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5.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5.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5.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5.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5.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5.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5.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5.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5.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5.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5.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5.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5.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5.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5.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5.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5.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5.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5.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5.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5.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5.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5.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5.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5.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5.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5.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5.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5.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5.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5.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5.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5.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5.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5.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5.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5.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5.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5.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5.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5.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5.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5.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5.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5.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5.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5.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5.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5.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5.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5.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5.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5.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5.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5.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5.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5.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5.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5.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5.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5.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5.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5.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5.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5.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5.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5.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5.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5.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5.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5.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5.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5.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5.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5.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5.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5.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5.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5.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5.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5.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5.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5.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5.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5.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5.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5.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5.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5.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5.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5.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5.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5.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5.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5.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5.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5.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5.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5.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5.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5.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5.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5.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5.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5.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5.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5.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5.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5.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5.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5.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5.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5.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5.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5.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5.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5.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5.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5.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5.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5.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5.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5.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5.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5.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5.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5.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5.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5.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5.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5.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5.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5.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5.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5.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5.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5.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5.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5.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5.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5.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5.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5.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5.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5.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5.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5.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5.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5.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5.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5.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5.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5.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5.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5.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5.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5.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5.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5.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5.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5.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5.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5.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5.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5.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5.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5.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5.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5.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5.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5.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5.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5.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5.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5.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5.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5.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5.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5.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5.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5.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5.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5.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5.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5.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5.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5.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5.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5.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5.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5.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5.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5.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5.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5.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5.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5.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5.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5.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5.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5.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5.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5.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5.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5.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5.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5.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5.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5.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5.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5.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5.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5.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5.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5.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5.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5.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5.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5.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5.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5.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5.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5.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5.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5.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5.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5.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5.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5.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5.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5.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5.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5.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5.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5.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5.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5.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5.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5.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5.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5.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5.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5.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5.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5.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5.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5.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5.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5.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5.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5.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5.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5.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5.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5.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5.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5.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5.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5.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5.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5.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5.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5.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5.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5.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5.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5.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5.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5.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5.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5.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5.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5.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5.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5.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5.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5.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5.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5.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5.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5.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5.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5.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5.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5.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5.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5.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5.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5.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5.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5.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5.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5.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5.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5.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5.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5.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5.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5.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5.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5.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5.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5.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5.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5.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5.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5.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5.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5.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5.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5.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5.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5.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5.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5.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5.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5.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5.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5.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5.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5.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5.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5.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5.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5.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5.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5.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5.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5.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5.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5.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5.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5.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5.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5.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5.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5.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5.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5.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5.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5.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5.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5.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5.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5.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5.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5.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5.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5.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5.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5.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5.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5.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5.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5.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5.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5.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5.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5.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5.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5.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5.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5.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5.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5.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5.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5.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5.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5.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5.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5.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5.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5.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5.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5.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5.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5.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5.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5.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5.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5.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5.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5.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5.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5.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5.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5.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5.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5.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5.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5.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5.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5.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5.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5.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5.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5.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5.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5.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5.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5.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5.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5.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5.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5.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5.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5.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5.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5.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5.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5.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5.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5.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5.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5.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5.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5.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5.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5.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5.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5.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5.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5.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5.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5.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5.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5.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5.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5.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5.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5.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5.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5.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5.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5.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5.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5.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5.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5.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5.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5.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5.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5.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5.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5.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5.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5.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5.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5.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5.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5.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5.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5.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5.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5.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5.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5.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5.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5.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5.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5.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5.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5.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5.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5.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5.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5.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5.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5.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5.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5.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5.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5.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5.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5.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5.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5.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5.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5.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5.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5.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5.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5.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5.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5.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5.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5.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5.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conditionalFormatting sqref="AC18:AC42">
    <cfRule type="cellIs" dxfId="5" priority="2" operator="between">
      <formula>80</formula>
      <formula>89.9</formula>
    </cfRule>
  </conditionalFormatting>
  <conditionalFormatting sqref="AC18:AC48">
    <cfRule type="cellIs" dxfId="4" priority="5" stopIfTrue="1" operator="lessThanOrEqual">
      <formula>74.9</formula>
    </cfRule>
    <cfRule type="cellIs" dxfId="3" priority="6" stopIfTrue="1" operator="between">
      <formula>75</formula>
      <formula>79</formula>
    </cfRule>
  </conditionalFormatting>
  <conditionalFormatting sqref="AC69:AC84">
    <cfRule type="cellIs" dxfId="2" priority="1" operator="between">
      <formula>80</formula>
      <formula>89.9</formula>
    </cfRule>
  </conditionalFormatting>
  <conditionalFormatting sqref="AC69:AC85">
    <cfRule type="cellIs" dxfId="1" priority="3" operator="lessThanOrEqual">
      <formula>74.9</formula>
    </cfRule>
    <cfRule type="cellIs" dxfId="0" priority="4" operator="between">
      <formula>75</formula>
      <formula>79</formula>
    </cfRule>
  </conditionalFormatting>
  <dataValidations count="12">
    <dataValidation type="custom" allowBlank="1" showInputMessage="1" showErrorMessage="1" prompt="Score Entry - Enter learners' raw scores." sqref="V18:V67 V69:V118" xr:uid="{00000000-0002-0000-0100-000000000000}">
      <formula1>V18&lt;=$V$15</formula1>
    </dataValidation>
    <dataValidation type="custom" allowBlank="1" showInputMessage="1" showErrorMessage="1" prompt="Score Entry - Enter learners' raw scores." sqref="I18:I67 I69:I118" xr:uid="{00000000-0002-0000-0100-000001000000}">
      <formula1>I18&lt;=$I$15</formula1>
    </dataValidation>
    <dataValidation type="custom" allowBlank="1" showInputMessage="1" showErrorMessage="1" prompt="Score Entry - Enter learners' raw scores." sqref="J18:J67 J69:J118" xr:uid="{00000000-0002-0000-0100-000002000000}">
      <formula1>J18&lt;=$J$15</formula1>
    </dataValidation>
    <dataValidation type="custom" allowBlank="1" showInputMessage="1" showErrorMessage="1" prompt="Score Entry - Enter learners' raw scores." sqref="P18:P67 P69:P118" xr:uid="{00000000-0002-0000-0100-000003000000}">
      <formula1>P18&lt;=$P$15</formula1>
    </dataValidation>
    <dataValidation type="custom" allowBlank="1" showInputMessage="1" showErrorMessage="1" prompt="Score Entry - Enter learners' raw scores." sqref="F18:F67 F69:F118" xr:uid="{00000000-0002-0000-0100-000004000000}">
      <formula1>F18&lt;=$F$15</formula1>
    </dataValidation>
    <dataValidation type="custom" allowBlank="1" showInputMessage="1" showErrorMessage="1" prompt="Score Entry - Enter learners' raw scores." sqref="N18:N67 N69:N118" xr:uid="{00000000-0002-0000-0100-000005000000}">
      <formula1>N18&lt;=$N$15</formula1>
    </dataValidation>
    <dataValidation type="custom" allowBlank="1" showInputMessage="1" showErrorMessage="1" prompt="Score Entry - Enter learners' raw scores." sqref="H18:H67 H69:H118" xr:uid="{00000000-0002-0000-0100-000006000000}">
      <formula1>H18&lt;=$H$15</formula1>
    </dataValidation>
    <dataValidation type="custom" allowBlank="1" showInputMessage="1" showErrorMessage="1" prompt="Score Entry - Enter learners' raw scores." sqref="T18:T67 T69:T118" xr:uid="{00000000-0002-0000-0100-000007000000}">
      <formula1>T18&lt;=$T$15</formula1>
    </dataValidation>
    <dataValidation type="custom" allowBlank="1" showInputMessage="1" showErrorMessage="1" prompt="Score Entry - Enter learners' raw scores." sqref="U18:U67 U69:U118" xr:uid="{00000000-0002-0000-0100-000008000000}">
      <formula1>U18&lt;=$U$15</formula1>
    </dataValidation>
    <dataValidation type="decimal" allowBlank="1" showInputMessage="1" showErrorMessage="1" prompt="Highest Possible Score - Enter HPS." sqref="F15:J15 N15:P15 T15:V15" xr:uid="{00000000-0002-0000-0100-000009000000}">
      <formula1>0</formula1>
      <formula2>1000</formula2>
    </dataValidation>
    <dataValidation type="custom" allowBlank="1" showInputMessage="1" showErrorMessage="1" prompt="Score Entry - Enter learners' raw scores." sqref="G18:G67 G69:G118" xr:uid="{00000000-0002-0000-0100-00000A000000}">
      <formula1>G18&lt;=$G$15</formula1>
    </dataValidation>
    <dataValidation type="custom" allowBlank="1" showInputMessage="1" showErrorMessage="1" prompt="Score Entry - Enter learners' raw scores." sqref="O18:O67 O69:O118" xr:uid="{00000000-0002-0000-0100-00000B000000}">
      <formula1>O18&lt;=$O$15</formula1>
    </dataValidation>
  </dataValidations>
  <pageMargins left="0.23622047244094491" right="0.23622047244094491" top="0.39370078740157483" bottom="0.39370078740157483" header="0" footer="0"/>
  <pageSetup paperSize="9" fitToHeight="0"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000"/>
    <outlinePr summaryBelow="0" summaryRight="0"/>
    <pageSetUpPr fitToPage="1"/>
  </sheetPr>
  <dimension ref="A1:AF1000"/>
  <sheetViews>
    <sheetView showGridLines="0" workbookViewId="0">
      <pane ySplit="15" topLeftCell="A16" activePane="bottomLeft" state="frozen"/>
      <selection pane="bottomLeft" activeCell="B17" sqref="B17"/>
    </sheetView>
  </sheetViews>
  <sheetFormatPr baseColWidth="10" defaultColWidth="12.6640625" defaultRowHeight="15" customHeight="1" x14ac:dyDescent="0.15"/>
  <cols>
    <col min="1" max="2" width="3.83203125" customWidth="1"/>
    <col min="3" max="5" width="12.6640625" customWidth="1"/>
    <col min="6" max="10" width="3.83203125" customWidth="1"/>
    <col min="11" max="11" width="5.1640625" customWidth="1"/>
    <col min="12" max="12" width="5.6640625" customWidth="1"/>
    <col min="13" max="13" width="6.33203125" customWidth="1"/>
    <col min="14" max="16" width="3.83203125" customWidth="1"/>
    <col min="17" max="17" width="5.1640625" customWidth="1"/>
    <col min="18" max="18" width="5.6640625" customWidth="1"/>
    <col min="19" max="19" width="6.33203125" customWidth="1"/>
    <col min="20" max="22" width="5.6640625" customWidth="1"/>
    <col min="23" max="25" width="8" customWidth="1"/>
    <col min="26" max="27" width="5.6640625" customWidth="1"/>
    <col min="28" max="28" width="7.33203125" customWidth="1"/>
    <col min="29" max="29" width="10.1640625" customWidth="1"/>
    <col min="30" max="30" width="14.5" customWidth="1"/>
    <col min="31" max="31" width="12.6640625" customWidth="1"/>
    <col min="32" max="32" width="3.83203125" customWidth="1"/>
  </cols>
  <sheetData>
    <row r="1" spans="1:32" ht="15.7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5"/>
    </row>
    <row r="2" spans="1:32" ht="15.75" customHeight="1" x14ac:dyDescent="0.15">
      <c r="A2" s="2"/>
      <c r="B2" s="227" t="s">
        <v>1</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2"/>
      <c r="AF2" s="5"/>
    </row>
    <row r="3" spans="1:32" ht="15.75" customHeight="1" x14ac:dyDescent="0.15">
      <c r="A3" s="2"/>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2"/>
      <c r="AF3" s="5"/>
    </row>
    <row r="4" spans="1:32" ht="15.75" customHeight="1"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5"/>
    </row>
    <row r="5" spans="1:32" ht="15.75" customHeight="1" x14ac:dyDescent="0.2">
      <c r="A5" s="3"/>
      <c r="B5" s="3"/>
      <c r="C5" s="3"/>
      <c r="D5" s="3"/>
      <c r="E5" s="7" t="s">
        <v>4</v>
      </c>
      <c r="F5" s="228" t="str">
        <f>IF('INPUT DATA'!E10="","",'INPUT DATA'!E10)</f>
      </c>
      <c r="G5" s="196"/>
      <c r="H5" s="196"/>
      <c r="I5" s="196"/>
      <c r="J5" s="196"/>
      <c r="K5" s="196"/>
      <c r="L5" s="197"/>
      <c r="M5" s="3"/>
      <c r="N5" s="3"/>
      <c r="O5" s="3"/>
      <c r="P5" s="3"/>
      <c r="Q5" s="7" t="s">
        <v>8</v>
      </c>
      <c r="R5" s="228" t="str">
        <f>IF('INPUT DATA'!E11="","",'INPUT DATA'!E11)</f>
      </c>
      <c r="S5" s="196"/>
      <c r="T5" s="196"/>
      <c r="U5" s="196"/>
      <c r="V5" s="197"/>
      <c r="W5" s="3"/>
      <c r="X5" s="3"/>
      <c r="Y5" s="7" t="s">
        <v>9</v>
      </c>
      <c r="Z5" s="228">
        <f>IF('INPUT DATA'!E13="","",'INPUT DATA'!E13)</f>
      </c>
      <c r="AA5" s="196"/>
      <c r="AB5" s="197"/>
      <c r="AC5" s="3"/>
      <c r="AD5" s="3"/>
      <c r="AE5" s="3"/>
      <c r="AF5" s="4"/>
    </row>
    <row r="6" spans="1:32" ht="6" customHeight="1" x14ac:dyDescent="0.2">
      <c r="A6" s="3"/>
      <c r="B6" s="3"/>
      <c r="C6" s="3"/>
      <c r="D6" s="3"/>
      <c r="E6" s="7"/>
      <c r="F6" s="16"/>
      <c r="G6" s="18"/>
      <c r="H6" s="18"/>
      <c r="I6" s="18"/>
      <c r="J6" s="18"/>
      <c r="K6" s="18"/>
      <c r="L6" s="18"/>
      <c r="M6" s="3"/>
      <c r="N6" s="3"/>
      <c r="O6" s="3"/>
      <c r="P6" s="3"/>
      <c r="Q6" s="7"/>
      <c r="R6" s="16"/>
      <c r="S6" s="18"/>
      <c r="T6" s="18"/>
      <c r="U6" s="18"/>
      <c r="V6" s="18"/>
      <c r="W6" s="3"/>
      <c r="X6" s="3"/>
      <c r="Y6" s="7"/>
      <c r="Z6" s="16"/>
      <c r="AA6" s="18"/>
      <c r="AB6" s="18"/>
      <c r="AC6" s="3"/>
      <c r="AD6" s="3"/>
      <c r="AE6" s="3"/>
      <c r="AF6" s="4"/>
    </row>
    <row r="7" spans="1:32" ht="15.75" customHeight="1" x14ac:dyDescent="0.2">
      <c r="A7" s="3"/>
      <c r="B7" s="3"/>
      <c r="C7" s="3"/>
      <c r="D7" s="3"/>
      <c r="E7" s="7" t="s">
        <v>10</v>
      </c>
      <c r="F7" s="228" t="str">
        <f>IF('INPUT DATA'!E14="","",'INPUT DATA'!E14)</f>
      </c>
      <c r="G7" s="196"/>
      <c r="H7" s="196"/>
      <c r="I7" s="196"/>
      <c r="J7" s="196"/>
      <c r="K7" s="196"/>
      <c r="L7" s="196"/>
      <c r="M7" s="196"/>
      <c r="N7" s="196"/>
      <c r="O7" s="196"/>
      <c r="P7" s="196"/>
      <c r="Q7" s="196"/>
      <c r="R7" s="196"/>
      <c r="S7" s="196"/>
      <c r="T7" s="196"/>
      <c r="U7" s="196"/>
      <c r="V7" s="197"/>
      <c r="W7" s="3"/>
      <c r="X7" s="3"/>
      <c r="Y7" s="7" t="s">
        <v>11</v>
      </c>
      <c r="Z7" s="228" t="str">
        <f>IF('INPUT DATA'!E15="","",'INPUT DATA'!E15)</f>
      </c>
      <c r="AA7" s="196"/>
      <c r="AB7" s="197"/>
      <c r="AC7" s="3"/>
      <c r="AD7" s="3"/>
      <c r="AE7" s="3"/>
      <c r="AF7" s="4"/>
    </row>
    <row r="8" spans="1:32" ht="15.75" customHeight="1" x14ac:dyDescent="0.1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4"/>
    </row>
    <row r="9" spans="1:32" ht="15.75" customHeight="1" x14ac:dyDescent="0.2">
      <c r="A9" s="3"/>
      <c r="B9" s="229"/>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7"/>
      <c r="AE9" s="3"/>
      <c r="AF9" s="4"/>
    </row>
    <row r="10" spans="1:32" ht="15.75" customHeight="1" x14ac:dyDescent="0.15">
      <c r="A10" s="3"/>
      <c r="B10" s="213" t="s">
        <v>12</v>
      </c>
      <c r="C10" s="208"/>
      <c r="D10" s="208"/>
      <c r="E10" s="209"/>
      <c r="F10" s="219" t="s">
        <v>15</v>
      </c>
      <c r="G10" s="204"/>
      <c r="H10" s="204"/>
      <c r="I10" s="205"/>
      <c r="J10" s="220">
        <f>IF('INPUT DATA'!E25="","",'INPUT DATA'!E25)</f>
      </c>
      <c r="K10" s="221"/>
      <c r="L10" s="221"/>
      <c r="M10" s="222"/>
      <c r="N10" s="223" t="s">
        <v>17</v>
      </c>
      <c r="O10" s="208"/>
      <c r="P10" s="209"/>
      <c r="Q10" s="207" t="str">
        <f>IF('INPUT DATA'!E23="","",'INPUT DATA'!E23)</f>
      </c>
      <c r="R10" s="208"/>
      <c r="S10" s="208"/>
      <c r="T10" s="208"/>
      <c r="U10" s="208"/>
      <c r="V10" s="208"/>
      <c r="W10" s="208"/>
      <c r="X10" s="209"/>
      <c r="Y10" s="223" t="s">
        <v>18</v>
      </c>
      <c r="Z10" s="224"/>
      <c r="AA10" s="207" t="str">
        <f>IF('INPUT DATA'!E24="","",'INPUT DATA'!E24)</f>
      </c>
      <c r="AB10" s="208"/>
      <c r="AC10" s="208"/>
      <c r="AD10" s="209"/>
      <c r="AE10" s="3"/>
      <c r="AF10" s="4"/>
    </row>
    <row r="11" spans="1:32" ht="15.75" customHeight="1" x14ac:dyDescent="0.15">
      <c r="A11" s="3"/>
      <c r="B11" s="214"/>
      <c r="C11" s="194"/>
      <c r="D11" s="194"/>
      <c r="E11" s="215"/>
      <c r="F11" s="230" t="s">
        <v>19</v>
      </c>
      <c r="G11" s="196"/>
      <c r="H11" s="196"/>
      <c r="I11" s="197"/>
      <c r="J11" s="231" t="str">
        <f>IF('INPUT DATA'!E26="","",'INPUT DATA'!E26)</f>
      </c>
      <c r="K11" s="196"/>
      <c r="L11" s="196"/>
      <c r="M11" s="197"/>
      <c r="N11" s="203"/>
      <c r="O11" s="204"/>
      <c r="P11" s="205"/>
      <c r="Q11" s="203"/>
      <c r="R11" s="204"/>
      <c r="S11" s="204"/>
      <c r="T11" s="204"/>
      <c r="U11" s="204"/>
      <c r="V11" s="204"/>
      <c r="W11" s="204"/>
      <c r="X11" s="205"/>
      <c r="Y11" s="203"/>
      <c r="Z11" s="225"/>
      <c r="AA11" s="203"/>
      <c r="AB11" s="204"/>
      <c r="AC11" s="204"/>
      <c r="AD11" s="205"/>
      <c r="AE11" s="3"/>
      <c r="AF11" s="4"/>
    </row>
    <row r="12" spans="1:32" ht="15.75" customHeight="1" x14ac:dyDescent="0.15">
      <c r="A12" s="3"/>
      <c r="B12" s="214"/>
      <c r="C12" s="194"/>
      <c r="D12" s="194"/>
      <c r="E12" s="215"/>
      <c r="F12" s="200" t="s">
        <v>21</v>
      </c>
      <c r="G12" s="201"/>
      <c r="H12" s="201"/>
      <c r="I12" s="201"/>
      <c r="J12" s="201"/>
      <c r="K12" s="201"/>
      <c r="L12" s="201"/>
      <c r="M12" s="202"/>
      <c r="N12" s="206" t="s">
        <v>22</v>
      </c>
      <c r="O12" s="201"/>
      <c r="P12" s="201"/>
      <c r="Q12" s="201"/>
      <c r="R12" s="201"/>
      <c r="S12" s="202"/>
      <c r="T12" s="206" t="s">
        <v>23</v>
      </c>
      <c r="U12" s="201"/>
      <c r="V12" s="201"/>
      <c r="W12" s="201"/>
      <c r="X12" s="201"/>
      <c r="Y12" s="201"/>
      <c r="Z12" s="201"/>
      <c r="AA12" s="202"/>
      <c r="AB12" s="210" t="s">
        <v>24</v>
      </c>
      <c r="AC12" s="210" t="s">
        <v>26</v>
      </c>
      <c r="AD12" s="210" t="s">
        <v>27</v>
      </c>
      <c r="AE12" s="3"/>
      <c r="AF12" s="4"/>
    </row>
    <row r="13" spans="1:32" ht="15.75" customHeight="1" x14ac:dyDescent="0.15">
      <c r="A13" s="3"/>
      <c r="B13" s="214"/>
      <c r="C13" s="194"/>
      <c r="D13" s="194"/>
      <c r="E13" s="215"/>
      <c r="F13" s="203"/>
      <c r="G13" s="204"/>
      <c r="H13" s="204"/>
      <c r="I13" s="204"/>
      <c r="J13" s="204"/>
      <c r="K13" s="204"/>
      <c r="L13" s="204"/>
      <c r="M13" s="205"/>
      <c r="N13" s="203"/>
      <c r="O13" s="204"/>
      <c r="P13" s="204"/>
      <c r="Q13" s="204"/>
      <c r="R13" s="204"/>
      <c r="S13" s="205"/>
      <c r="T13" s="203"/>
      <c r="U13" s="204"/>
      <c r="V13" s="204"/>
      <c r="W13" s="204"/>
      <c r="X13" s="204"/>
      <c r="Y13" s="204"/>
      <c r="Z13" s="204"/>
      <c r="AA13" s="205"/>
      <c r="AB13" s="211"/>
      <c r="AC13" s="211"/>
      <c r="AD13" s="211"/>
      <c r="AE13" s="3"/>
      <c r="AF13" s="4"/>
    </row>
    <row r="14" spans="1:32" ht="15.75" customHeight="1" x14ac:dyDescent="0.15">
      <c r="A14" s="3"/>
      <c r="B14" s="216"/>
      <c r="C14" s="217"/>
      <c r="D14" s="217"/>
      <c r="E14" s="218"/>
      <c r="F14" s="28">
        <v>1</v>
      </c>
      <c r="G14" s="29">
        <v>2</v>
      </c>
      <c r="H14" s="29">
        <v>3</v>
      </c>
      <c r="I14" s="29">
        <v>4</v>
      </c>
      <c r="J14" s="30">
        <v>5</v>
      </c>
      <c r="K14" s="31" t="s">
        <v>28</v>
      </c>
      <c r="L14" s="31" t="s">
        <v>29</v>
      </c>
      <c r="M14" s="31" t="s">
        <v>30</v>
      </c>
      <c r="N14" s="28">
        <v>1</v>
      </c>
      <c r="O14" s="29">
        <v>2</v>
      </c>
      <c r="P14" s="30">
        <v>3</v>
      </c>
      <c r="Q14" s="31" t="s">
        <v>28</v>
      </c>
      <c r="R14" s="31" t="s">
        <v>29</v>
      </c>
      <c r="S14" s="31" t="s">
        <v>30</v>
      </c>
      <c r="T14" s="28" t="s">
        <v>31</v>
      </c>
      <c r="U14" s="29" t="s">
        <v>32</v>
      </c>
      <c r="V14" s="30" t="s">
        <v>33</v>
      </c>
      <c r="W14" s="32" t="s">
        <v>34</v>
      </c>
      <c r="X14" s="33" t="s">
        <v>35</v>
      </c>
      <c r="Y14" s="34" t="s">
        <v>36</v>
      </c>
      <c r="Z14" s="31" t="s">
        <v>29</v>
      </c>
      <c r="AA14" s="31" t="s">
        <v>30</v>
      </c>
      <c r="AB14" s="211"/>
      <c r="AC14" s="211"/>
      <c r="AD14" s="211"/>
      <c r="AE14" s="3"/>
      <c r="AF14" s="4"/>
    </row>
    <row r="15" spans="1:32" ht="15.75" customHeight="1" x14ac:dyDescent="0.15">
      <c r="A15" s="3"/>
      <c r="B15" s="226" t="s">
        <v>37</v>
      </c>
      <c r="C15" s="196"/>
      <c r="D15" s="196"/>
      <c r="E15" s="197"/>
      <c r="F15" s="37"/>
      <c r="G15" s="38"/>
      <c r="H15" s="38"/>
      <c r="I15" s="38"/>
      <c r="J15" s="39"/>
      <c r="K15" s="40" t="str">
        <f>IF(COUNT(F15:J15)=0,"",SUM(F15:J15))</f>
      </c>
      <c r="L15" s="41">
        <v>100</v>
      </c>
      <c r="M15" s="43">
        <v>0.2</v>
      </c>
      <c r="N15" s="37"/>
      <c r="O15" s="38"/>
      <c r="P15" s="39"/>
      <c r="Q15" s="40" t="str">
        <f>IF(COUNT(N15:P15)=0,"",SUM(N15:P15))</f>
      </c>
      <c r="R15" s="45">
        <v>100</v>
      </c>
      <c r="S15" s="46">
        <v>0.5</v>
      </c>
      <c r="T15" s="37"/>
      <c r="U15" s="38"/>
      <c r="V15" s="39"/>
      <c r="W15" s="47">
        <v>30</v>
      </c>
      <c r="X15" s="48">
        <v>30</v>
      </c>
      <c r="Y15" s="49">
        <v>40</v>
      </c>
      <c r="Z15" s="45">
        <v>100</v>
      </c>
      <c r="AA15" s="46">
        <v>0.3</v>
      </c>
      <c r="AB15" s="212"/>
      <c r="AC15" s="212"/>
      <c r="AD15" s="212"/>
      <c r="AE15" s="3"/>
      <c r="AF15" s="4"/>
    </row>
    <row r="16" spans="1:32" ht="15.75" customHeight="1" x14ac:dyDescent="0.15">
      <c r="A16" s="3"/>
      <c r="B16" s="195" t="s">
        <v>3</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7"/>
      <c r="AE16" s="3"/>
      <c r="AF16" s="4"/>
    </row>
    <row r="17" spans="1:32" ht="15.75" customHeight="1" x14ac:dyDescent="0.15">
      <c r="A17" s="3"/>
      <c r="B17" s="198" t="s">
        <v>6</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7"/>
      <c r="AE17" s="3"/>
      <c r="AF17" s="4"/>
    </row>
    <row r="18" spans="1:32" ht="15" customHeight="1" x14ac:dyDescent="0.15">
      <c r="A18" s="3"/>
      <c r="B18" s="53">
        <v>1</v>
      </c>
      <c r="C18" s="199" t="str">
        <f>IF('INPUT DATA'!K11="","",'INPUT DATA'!K11)</f>
      </c>
      <c r="D18" s="185"/>
      <c r="E18" s="186"/>
      <c r="F18" s="54"/>
      <c r="G18" s="55"/>
      <c r="H18" s="55"/>
      <c r="I18" s="55"/>
      <c r="J18" s="56"/>
      <c r="K18" s="57" t="str">
        <f t="shared" ref="K18:K67" si="0">IF(COUNT($F18:$J18)=0,"",SUM($F18:$J18))</f>
      </c>
      <c r="L18" s="59" t="str">
        <f t="shared" ref="L18:L67" si="1">IF(COUNT(F18:J18)=0,"",IFERROR(K18/$K$15*$L$15,""))</f>
      </c>
      <c r="M18" s="60" t="str">
        <f t="shared" ref="M18:M67" si="2">IF(L18="","",L18*$M$15)</f>
      </c>
      <c r="N18" s="54"/>
      <c r="O18" s="55"/>
      <c r="P18" s="56"/>
      <c r="Q18" s="57" t="str">
        <f t="shared" ref="Q18:Q67" si="3">IF(COUNT(N18:P18)=0,"",SUM(N18:P18))</f>
      </c>
      <c r="R18" s="59" t="str">
        <f t="shared" ref="R18:R67" si="4">IF(COUNT(N18:P18)=0,"",IFERROR(Q18/$Q$15*$R$15,""))</f>
      </c>
      <c r="S18" s="60" t="str">
        <f t="shared" ref="S18:S67" si="5">IF(R18="","",R18*$S$15)</f>
      </c>
      <c r="T18" s="54"/>
      <c r="U18" s="55"/>
      <c r="V18" s="56"/>
      <c r="W18" s="61" t="str">
        <f t="shared" ref="W18:W67" si="6">IF(T18="","",IFERROR(T18/$T$15*$W$15,""))</f>
      </c>
      <c r="X18" s="62" t="str">
        <f t="shared" ref="X18:X67" si="7">IF(U18="","",IFERROR(U18/$U$15*$X$15,""))</f>
      </c>
      <c r="Y18" s="63" t="str">
        <f t="shared" ref="Y18:Y67" si="8">IF(V18="","",IFERROR(V18/$V$15*$Y$15,""))</f>
      </c>
      <c r="Z18" s="64" t="str">
        <f t="shared" ref="Z18:Z67" si="9">IF(COUNT(T18:V18)=0,"",SUM(W18:Y18))</f>
      </c>
      <c r="AA18" s="65" t="str">
        <f t="shared" ref="AA18:AA67" si="10">IF(Z18="","",Z18*$AA$15)</f>
      </c>
      <c r="AB18" s="66" t="str">
        <f t="shared" ref="AB18:AB67" si="11">IF(COUNT(F18:J18,N18:P18,T18:V18)=0,"",SUM(M18,S18,AA18))</f>
      </c>
      <c r="AC18" s="67" t="str">
        <f t="array" ref="AC18">IF(AB18="","",IFERROR(INDEX(HELPER!$D$8:$D$48,IF(AB18&gt;=HELPER!$B$8,1,MATCH(AB18,HELPER!$B$8:$B$48,-1)+1)),""))</f>
      </c>
      <c r="AD18" s="68" t="str">
        <f>IF(AC18="","",IFERROR(VLOOKUP(AC18,HELPER!$F$8:$G$48,2,FALSE),""))</f>
      </c>
      <c r="AE18" s="3"/>
      <c r="AF18" s="4"/>
    </row>
    <row r="19" spans="1:32" ht="15" customHeight="1" x14ac:dyDescent="0.15">
      <c r="A19" s="3"/>
      <c r="B19" s="69">
        <v>2</v>
      </c>
      <c r="C19" s="199" t="str">
        <f>IF('INPUT DATA'!K12="","",'INPUT DATA'!K12)</f>
      </c>
      <c r="D19" s="185"/>
      <c r="E19" s="186"/>
      <c r="F19" s="70"/>
      <c r="G19" s="71"/>
      <c r="H19" s="71"/>
      <c r="I19" s="71"/>
      <c r="J19" s="72"/>
      <c r="K19" s="73" t="str">
        <f t="shared" si="0"/>
      </c>
      <c r="L19" s="74" t="str">
        <f t="shared" si="1"/>
      </c>
      <c r="M19" s="75" t="str">
        <f t="shared" si="2"/>
      </c>
      <c r="N19" s="70"/>
      <c r="O19" s="71"/>
      <c r="P19" s="72"/>
      <c r="Q19" s="73" t="str">
        <f t="shared" si="3"/>
      </c>
      <c r="R19" s="74" t="str">
        <f t="shared" si="4"/>
      </c>
      <c r="S19" s="75" t="str">
        <f t="shared" si="5"/>
      </c>
      <c r="T19" s="70"/>
      <c r="U19" s="71"/>
      <c r="V19" s="72"/>
      <c r="W19" s="77" t="str">
        <f t="shared" si="6"/>
      </c>
      <c r="X19" s="74" t="str">
        <f t="shared" si="7"/>
      </c>
      <c r="Y19" s="75" t="str">
        <f t="shared" si="8"/>
      </c>
      <c r="Z19" s="78" t="str">
        <f t="shared" si="9"/>
      </c>
      <c r="AA19" s="79" t="str">
        <f t="shared" si="10"/>
      </c>
      <c r="AB19" s="80" t="str">
        <f t="shared" si="11"/>
      </c>
      <c r="AC19" s="81" t="str">
        <f t="array" ref="AC19">IF(AB19="","",IFERROR(INDEX(HELPER!$D$8:$D$48,IF(AB19&gt;=HELPER!$B$8,1,MATCH(AB19,HELPER!$B$8:$B$48,-1)+1)),""))</f>
      </c>
      <c r="AD19" s="82" t="str">
        <f>IF(AC19="","",IFERROR(VLOOKUP(AC19,HELPER!$F$8:$G$48,2,FALSE),""))</f>
      </c>
      <c r="AE19" s="3"/>
      <c r="AF19" s="4"/>
    </row>
    <row r="20" spans="1:32" ht="15" customHeight="1" x14ac:dyDescent="0.15">
      <c r="A20" s="3"/>
      <c r="B20" s="69">
        <v>3</v>
      </c>
      <c r="C20" s="199" t="str">
        <f>IF('INPUT DATA'!K13="","",'INPUT DATA'!K13)</f>
      </c>
      <c r="D20" s="185"/>
      <c r="E20" s="186"/>
      <c r="F20" s="70"/>
      <c r="G20" s="71"/>
      <c r="H20" s="71"/>
      <c r="I20" s="71"/>
      <c r="J20" s="72"/>
      <c r="K20" s="73" t="str">
        <f t="shared" si="0"/>
      </c>
      <c r="L20" s="74" t="str">
        <f t="shared" si="1"/>
      </c>
      <c r="M20" s="75" t="str">
        <f t="shared" si="2"/>
      </c>
      <c r="N20" s="70"/>
      <c r="O20" s="71"/>
      <c r="P20" s="72"/>
      <c r="Q20" s="73" t="str">
        <f t="shared" si="3"/>
      </c>
      <c r="R20" s="74" t="str">
        <f t="shared" si="4"/>
      </c>
      <c r="S20" s="75" t="str">
        <f t="shared" si="5"/>
      </c>
      <c r="T20" s="70"/>
      <c r="U20" s="71"/>
      <c r="V20" s="72"/>
      <c r="W20" s="77" t="str">
        <f t="shared" si="6"/>
      </c>
      <c r="X20" s="74" t="str">
        <f t="shared" si="7"/>
      </c>
      <c r="Y20" s="75" t="str">
        <f t="shared" si="8"/>
      </c>
      <c r="Z20" s="78" t="str">
        <f t="shared" si="9"/>
      </c>
      <c r="AA20" s="79" t="str">
        <f t="shared" si="10"/>
      </c>
      <c r="AB20" s="80" t="str">
        <f t="shared" si="11"/>
      </c>
      <c r="AC20" s="81" t="str">
        <f t="array" ref="AC20">IF(AB20="","",IFERROR(INDEX(HELPER!$D$8:$D$48,IF(AB20&gt;=HELPER!$B$8,1,MATCH(AB20,HELPER!$B$8:$B$48,-1)+1)),""))</f>
      </c>
      <c r="AD20" s="82" t="str">
        <f>IF(AC20="","",IFERROR(VLOOKUP(AC20,HELPER!$F$8:$G$48,2,FALSE),""))</f>
      </c>
      <c r="AE20" s="3"/>
      <c r="AF20" s="4"/>
    </row>
    <row r="21" spans="1:32" ht="15" customHeight="1" x14ac:dyDescent="0.15">
      <c r="A21" s="3"/>
      <c r="B21" s="69">
        <v>4</v>
      </c>
      <c r="C21" s="199" t="str">
        <f>IF('INPUT DATA'!K14="","",'INPUT DATA'!K14)</f>
      </c>
      <c r="D21" s="185"/>
      <c r="E21" s="186"/>
      <c r="F21" s="70"/>
      <c r="G21" s="71"/>
      <c r="H21" s="71"/>
      <c r="I21" s="71"/>
      <c r="J21" s="72"/>
      <c r="K21" s="73" t="str">
        <f t="shared" si="0"/>
      </c>
      <c r="L21" s="74" t="str">
        <f t="shared" si="1"/>
      </c>
      <c r="M21" s="75" t="str">
        <f t="shared" si="2"/>
      </c>
      <c r="N21" s="70"/>
      <c r="O21" s="71"/>
      <c r="P21" s="72"/>
      <c r="Q21" s="73" t="str">
        <f t="shared" si="3"/>
      </c>
      <c r="R21" s="74" t="str">
        <f t="shared" si="4"/>
      </c>
      <c r="S21" s="75" t="str">
        <f t="shared" si="5"/>
      </c>
      <c r="T21" s="70"/>
      <c r="U21" s="71"/>
      <c r="V21" s="72"/>
      <c r="W21" s="77" t="str">
        <f t="shared" si="6"/>
      </c>
      <c r="X21" s="74" t="str">
        <f t="shared" si="7"/>
      </c>
      <c r="Y21" s="75" t="str">
        <f t="shared" si="8"/>
      </c>
      <c r="Z21" s="78" t="str">
        <f t="shared" si="9"/>
      </c>
      <c r="AA21" s="79" t="str">
        <f t="shared" si="10"/>
      </c>
      <c r="AB21" s="80" t="str">
        <f t="shared" si="11"/>
      </c>
      <c r="AC21" s="81" t="str">
        <f t="array" ref="AC21">IF(AB21="","",IFERROR(INDEX(HELPER!$D$8:$D$48,IF(AB21&gt;=HELPER!$B$8,1,MATCH(AB21,HELPER!$B$8:$B$48,-1)+1)),""))</f>
      </c>
      <c r="AD21" s="82" t="str">
        <f>IF(AC21="","",IFERROR(VLOOKUP(AC21,HELPER!$F$8:$G$48,2,FALSE),""))</f>
      </c>
      <c r="AE21" s="3"/>
      <c r="AF21" s="4"/>
    </row>
    <row r="22" spans="1:32" ht="15" customHeight="1" x14ac:dyDescent="0.15">
      <c r="A22" s="3"/>
      <c r="B22" s="69">
        <v>5</v>
      </c>
      <c r="C22" s="184" t="str">
        <f>IF('INPUT DATA'!K15="","",'INPUT DATA'!K15)</f>
      </c>
      <c r="D22" s="185"/>
      <c r="E22" s="186"/>
      <c r="F22" s="70"/>
      <c r="G22" s="71"/>
      <c r="H22" s="71"/>
      <c r="I22" s="71"/>
      <c r="J22" s="72"/>
      <c r="K22" s="73" t="str">
        <f t="shared" si="0"/>
      </c>
      <c r="L22" s="74" t="str">
        <f t="shared" si="1"/>
      </c>
      <c r="M22" s="75" t="str">
        <f t="shared" si="2"/>
      </c>
      <c r="N22" s="70"/>
      <c r="O22" s="71"/>
      <c r="P22" s="72"/>
      <c r="Q22" s="73" t="str">
        <f t="shared" si="3"/>
      </c>
      <c r="R22" s="74" t="str">
        <f t="shared" si="4"/>
      </c>
      <c r="S22" s="75" t="str">
        <f t="shared" si="5"/>
      </c>
      <c r="T22" s="70"/>
      <c r="U22" s="71"/>
      <c r="V22" s="72"/>
      <c r="W22" s="77" t="str">
        <f t="shared" si="6"/>
      </c>
      <c r="X22" s="74" t="str">
        <f t="shared" si="7"/>
      </c>
      <c r="Y22" s="75" t="str">
        <f t="shared" si="8"/>
      </c>
      <c r="Z22" s="78" t="str">
        <f t="shared" si="9"/>
      </c>
      <c r="AA22" s="79" t="str">
        <f t="shared" si="10"/>
      </c>
      <c r="AB22" s="80" t="str">
        <f t="shared" si="11"/>
      </c>
      <c r="AC22" s="81" t="str">
        <f t="array" ref="AC22">IF(AB22="","",IFERROR(INDEX(HELPER!$D$8:$D$48,IF(AB22&gt;=HELPER!$B$8,1,MATCH(AB22,HELPER!$B$8:$B$48,-1)+1)),""))</f>
      </c>
      <c r="AD22" s="82" t="str">
        <f>IF(AC22="","",IFERROR(VLOOKUP(AC22,HELPER!$F$8:$G$48,2,FALSE),""))</f>
      </c>
      <c r="AE22" s="3"/>
      <c r="AF22" s="4"/>
    </row>
    <row r="23" spans="1:32" ht="15" customHeight="1" x14ac:dyDescent="0.15">
      <c r="A23" s="3"/>
      <c r="B23" s="69">
        <v>6</v>
      </c>
      <c r="C23" s="184" t="str">
        <f>IF('INPUT DATA'!K16="","",'INPUT DATA'!K16)</f>
      </c>
      <c r="D23" s="185"/>
      <c r="E23" s="186"/>
      <c r="F23" s="70"/>
      <c r="G23" s="71"/>
      <c r="H23" s="71"/>
      <c r="I23" s="71"/>
      <c r="J23" s="72"/>
      <c r="K23" s="73" t="str">
        <f t="shared" si="0"/>
      </c>
      <c r="L23" s="74" t="str">
        <f t="shared" si="1"/>
      </c>
      <c r="M23" s="75" t="str">
        <f t="shared" si="2"/>
      </c>
      <c r="N23" s="70"/>
      <c r="O23" s="71"/>
      <c r="P23" s="72"/>
      <c r="Q23" s="73" t="str">
        <f t="shared" si="3"/>
      </c>
      <c r="R23" s="74" t="str">
        <f t="shared" si="4"/>
      </c>
      <c r="S23" s="75" t="str">
        <f t="shared" si="5"/>
      </c>
      <c r="T23" s="70"/>
      <c r="U23" s="71"/>
      <c r="V23" s="72"/>
      <c r="W23" s="77" t="str">
        <f t="shared" si="6"/>
      </c>
      <c r="X23" s="74" t="str">
        <f t="shared" si="7"/>
      </c>
      <c r="Y23" s="75" t="str">
        <f t="shared" si="8"/>
      </c>
      <c r="Z23" s="78" t="str">
        <f t="shared" si="9"/>
      </c>
      <c r="AA23" s="79" t="str">
        <f t="shared" si="10"/>
      </c>
      <c r="AB23" s="80" t="str">
        <f t="shared" si="11"/>
      </c>
      <c r="AC23" s="81" t="str">
        <f t="array" ref="AC23">IF(AB23="","",IFERROR(INDEX(HELPER!$D$8:$D$48,IF(AB23&gt;=HELPER!$B$8,1,MATCH(AB23,HELPER!$B$8:$B$48,-1)+1)),""))</f>
      </c>
      <c r="AD23" s="82" t="str">
        <f>IF(AC23="","",IFERROR(VLOOKUP(AC23,HELPER!$F$8:$G$48,2,FALSE),""))</f>
      </c>
      <c r="AE23" s="3"/>
      <c r="AF23" s="4"/>
    </row>
    <row r="24" spans="1:32" ht="15" customHeight="1" x14ac:dyDescent="0.15">
      <c r="A24" s="3"/>
      <c r="B24" s="69">
        <v>7</v>
      </c>
      <c r="C24" s="184" t="str">
        <f>IF('INPUT DATA'!K17="","",'INPUT DATA'!K17)</f>
      </c>
      <c r="D24" s="185"/>
      <c r="E24" s="186"/>
      <c r="F24" s="70"/>
      <c r="G24" s="71"/>
      <c r="H24" s="71"/>
      <c r="I24" s="71"/>
      <c r="J24" s="72"/>
      <c r="K24" s="73" t="str">
        <f t="shared" si="0"/>
      </c>
      <c r="L24" s="74" t="str">
        <f t="shared" si="1"/>
      </c>
      <c r="M24" s="75" t="str">
        <f t="shared" si="2"/>
      </c>
      <c r="N24" s="70"/>
      <c r="O24" s="71"/>
      <c r="P24" s="72"/>
      <c r="Q24" s="73" t="str">
        <f t="shared" si="3"/>
      </c>
      <c r="R24" s="74" t="str">
        <f t="shared" si="4"/>
      </c>
      <c r="S24" s="75" t="str">
        <f t="shared" si="5"/>
      </c>
      <c r="T24" s="70"/>
      <c r="U24" s="71"/>
      <c r="V24" s="72"/>
      <c r="W24" s="77" t="str">
        <f t="shared" si="6"/>
      </c>
      <c r="X24" s="74" t="str">
        <f t="shared" si="7"/>
      </c>
      <c r="Y24" s="75" t="str">
        <f t="shared" si="8"/>
      </c>
      <c r="Z24" s="78" t="str">
        <f t="shared" si="9"/>
      </c>
      <c r="AA24" s="79" t="str">
        <f t="shared" si="10"/>
      </c>
      <c r="AB24" s="80" t="str">
        <f t="shared" si="11"/>
      </c>
      <c r="AC24" s="81" t="str">
        <f t="array" ref="AC24">IF(AB24="","",IFERROR(INDEX(HELPER!$D$8:$D$48,IF(AB24&gt;=HELPER!$B$8,1,MATCH(AB24,HELPER!$B$8:$B$48,-1)+1)),""))</f>
      </c>
      <c r="AD24" s="82" t="str">
        <f>IF(AC24="","",IFERROR(VLOOKUP(AC24,HELPER!$F$8:$G$48,2,FALSE),""))</f>
      </c>
      <c r="AE24" s="3"/>
      <c r="AF24" s="4"/>
    </row>
    <row r="25" spans="1:32" ht="15" customHeight="1" x14ac:dyDescent="0.15">
      <c r="A25" s="3"/>
      <c r="B25" s="69">
        <v>8</v>
      </c>
      <c r="C25" s="184" t="str">
        <f>IF('INPUT DATA'!K18="","",'INPUT DATA'!K18)</f>
      </c>
      <c r="D25" s="185"/>
      <c r="E25" s="186"/>
      <c r="F25" s="70"/>
      <c r="G25" s="71"/>
      <c r="H25" s="71"/>
      <c r="I25" s="71"/>
      <c r="J25" s="72"/>
      <c r="K25" s="73" t="str">
        <f t="shared" si="0"/>
      </c>
      <c r="L25" s="74" t="str">
        <f t="shared" si="1"/>
      </c>
      <c r="M25" s="75" t="str">
        <f t="shared" si="2"/>
      </c>
      <c r="N25" s="70"/>
      <c r="O25" s="71"/>
      <c r="P25" s="72"/>
      <c r="Q25" s="73" t="str">
        <f t="shared" si="3"/>
      </c>
      <c r="R25" s="74" t="str">
        <f t="shared" si="4"/>
      </c>
      <c r="S25" s="75" t="str">
        <f t="shared" si="5"/>
      </c>
      <c r="T25" s="70"/>
      <c r="U25" s="71"/>
      <c r="V25" s="72"/>
      <c r="W25" s="77" t="str">
        <f t="shared" si="6"/>
      </c>
      <c r="X25" s="74" t="str">
        <f t="shared" si="7"/>
      </c>
      <c r="Y25" s="75" t="str">
        <f t="shared" si="8"/>
      </c>
      <c r="Z25" s="78" t="str">
        <f t="shared" si="9"/>
      </c>
      <c r="AA25" s="79" t="str">
        <f t="shared" si="10"/>
      </c>
      <c r="AB25" s="80" t="str">
        <f t="shared" si="11"/>
      </c>
      <c r="AC25" s="81" t="str">
        <f t="array" ref="AC25">IF(AB25="","",IFERROR(INDEX(HELPER!$D$8:$D$48,IF(AB25&gt;=HELPER!$B$8,1,MATCH(AB25,HELPER!$B$8:$B$48,-1)+1)),""))</f>
      </c>
      <c r="AD25" s="82" t="str">
        <f>IF(AC25="","",IFERROR(VLOOKUP(AC25,HELPER!$F$8:$G$48,2,FALSE),""))</f>
      </c>
      <c r="AE25" s="3"/>
      <c r="AF25" s="4"/>
    </row>
    <row r="26" spans="1:32" ht="15" customHeight="1" x14ac:dyDescent="0.15">
      <c r="A26" s="3"/>
      <c r="B26" s="69">
        <v>9</v>
      </c>
      <c r="C26" s="184" t="str">
        <f>IF('INPUT DATA'!K19="","",'INPUT DATA'!K19)</f>
      </c>
      <c r="D26" s="185"/>
      <c r="E26" s="186"/>
      <c r="F26" s="70"/>
      <c r="G26" s="71"/>
      <c r="H26" s="71"/>
      <c r="I26" s="71"/>
      <c r="J26" s="72"/>
      <c r="K26" s="73" t="str">
        <f t="shared" si="0"/>
      </c>
      <c r="L26" s="74" t="str">
        <f t="shared" si="1"/>
      </c>
      <c r="M26" s="75" t="str">
        <f t="shared" si="2"/>
      </c>
      <c r="N26" s="70"/>
      <c r="O26" s="71"/>
      <c r="P26" s="72"/>
      <c r="Q26" s="73" t="str">
        <f t="shared" si="3"/>
      </c>
      <c r="R26" s="74" t="str">
        <f t="shared" si="4"/>
      </c>
      <c r="S26" s="75" t="str">
        <f t="shared" si="5"/>
      </c>
      <c r="T26" s="70"/>
      <c r="U26" s="71"/>
      <c r="V26" s="72"/>
      <c r="W26" s="77" t="str">
        <f t="shared" si="6"/>
      </c>
      <c r="X26" s="74" t="str">
        <f t="shared" si="7"/>
      </c>
      <c r="Y26" s="75" t="str">
        <f t="shared" si="8"/>
      </c>
      <c r="Z26" s="78" t="str">
        <f t="shared" si="9"/>
      </c>
      <c r="AA26" s="79" t="str">
        <f t="shared" si="10"/>
      </c>
      <c r="AB26" s="80" t="str">
        <f t="shared" si="11"/>
      </c>
      <c r="AC26" s="81" t="str">
        <f t="array" ref="AC26">IF(AB26="","",IFERROR(INDEX(HELPER!$D$8:$D$48,IF(AB26&gt;=HELPER!$B$8,1,MATCH(AB26,HELPER!$B$8:$B$48,-1)+1)),""))</f>
      </c>
      <c r="AD26" s="82" t="str">
        <f>IF(AC26="","",IFERROR(VLOOKUP(AC26,HELPER!$F$8:$G$48,2,FALSE),""))</f>
      </c>
      <c r="AE26" s="3"/>
      <c r="AF26" s="4"/>
    </row>
    <row r="27" spans="1:32" ht="15" customHeight="1" x14ac:dyDescent="0.15">
      <c r="A27" s="3"/>
      <c r="B27" s="69">
        <v>10</v>
      </c>
      <c r="C27" s="184" t="str">
        <f>IF('INPUT DATA'!K20="","",'INPUT DATA'!K20)</f>
      </c>
      <c r="D27" s="185"/>
      <c r="E27" s="186"/>
      <c r="F27" s="70"/>
      <c r="G27" s="71"/>
      <c r="H27" s="71"/>
      <c r="I27" s="71"/>
      <c r="J27" s="72"/>
      <c r="K27" s="73" t="str">
        <f t="shared" si="0"/>
      </c>
      <c r="L27" s="74" t="str">
        <f t="shared" si="1"/>
      </c>
      <c r="M27" s="75" t="str">
        <f t="shared" si="2"/>
      </c>
      <c r="N27" s="70"/>
      <c r="O27" s="71"/>
      <c r="P27" s="72"/>
      <c r="Q27" s="73" t="str">
        <f t="shared" si="3"/>
      </c>
      <c r="R27" s="74" t="str">
        <f t="shared" si="4"/>
      </c>
      <c r="S27" s="75" t="str">
        <f t="shared" si="5"/>
      </c>
      <c r="T27" s="70"/>
      <c r="U27" s="71"/>
      <c r="V27" s="72"/>
      <c r="W27" s="77" t="str">
        <f t="shared" si="6"/>
      </c>
      <c r="X27" s="74" t="str">
        <f t="shared" si="7"/>
      </c>
      <c r="Y27" s="75" t="str">
        <f t="shared" si="8"/>
      </c>
      <c r="Z27" s="78" t="str">
        <f t="shared" si="9"/>
      </c>
      <c r="AA27" s="79" t="str">
        <f t="shared" si="10"/>
      </c>
      <c r="AB27" s="80" t="str">
        <f t="shared" si="11"/>
      </c>
      <c r="AC27" s="81" t="str">
        <f t="array" ref="AC27">IF(AB27="","",IFERROR(INDEX(HELPER!$D$8:$D$48,IF(AB27&gt;=HELPER!$B$8,1,MATCH(AB27,HELPER!$B$8:$B$48,-1)+1)),""))</f>
      </c>
      <c r="AD27" s="82" t="str">
        <f>IF(AC27="","",IFERROR(VLOOKUP(AC27,HELPER!$F$8:$G$48,2,FALSE),""))</f>
      </c>
      <c r="AE27" s="3"/>
      <c r="AF27" s="4"/>
    </row>
    <row r="28" spans="1:32" ht="15" customHeight="1" x14ac:dyDescent="0.15">
      <c r="A28" s="3"/>
      <c r="B28" s="69">
        <v>11</v>
      </c>
      <c r="C28" s="184" t="str">
        <f>IF('INPUT DATA'!K21="","",'INPUT DATA'!K21)</f>
      </c>
      <c r="D28" s="185"/>
      <c r="E28" s="186"/>
      <c r="F28" s="70"/>
      <c r="G28" s="71"/>
      <c r="H28" s="71"/>
      <c r="I28" s="71"/>
      <c r="J28" s="72"/>
      <c r="K28" s="73" t="str">
        <f t="shared" si="0"/>
      </c>
      <c r="L28" s="74" t="str">
        <f t="shared" si="1"/>
      </c>
      <c r="M28" s="75" t="str">
        <f t="shared" si="2"/>
      </c>
      <c r="N28" s="70"/>
      <c r="O28" s="71"/>
      <c r="P28" s="72"/>
      <c r="Q28" s="73" t="str">
        <f t="shared" si="3"/>
      </c>
      <c r="R28" s="74" t="str">
        <f t="shared" si="4"/>
      </c>
      <c r="S28" s="75" t="str">
        <f t="shared" si="5"/>
      </c>
      <c r="T28" s="70"/>
      <c r="U28" s="71"/>
      <c r="V28" s="72"/>
      <c r="W28" s="77" t="str">
        <f t="shared" si="6"/>
      </c>
      <c r="X28" s="74" t="str">
        <f t="shared" si="7"/>
      </c>
      <c r="Y28" s="75" t="str">
        <f t="shared" si="8"/>
      </c>
      <c r="Z28" s="78" t="str">
        <f t="shared" si="9"/>
      </c>
      <c r="AA28" s="79" t="str">
        <f t="shared" si="10"/>
      </c>
      <c r="AB28" s="80" t="str">
        <f t="shared" si="11"/>
      </c>
      <c r="AC28" s="81" t="str">
        <f t="array" ref="AC28">IF(AB28="","",IFERROR(INDEX(HELPER!$D$8:$D$48,IF(AB28&gt;=HELPER!$B$8,1,MATCH(AB28,HELPER!$B$8:$B$48,-1)+1)),""))</f>
      </c>
      <c r="AD28" s="82" t="str">
        <f>IF(AC28="","",IFERROR(VLOOKUP(AC28,HELPER!$F$8:$G$48,2,FALSE),""))</f>
      </c>
      <c r="AE28" s="3"/>
      <c r="AF28" s="4"/>
    </row>
    <row r="29" spans="1:32" ht="15" customHeight="1" x14ac:dyDescent="0.15">
      <c r="A29" s="3"/>
      <c r="B29" s="69">
        <v>12</v>
      </c>
      <c r="C29" s="184" t="str">
        <f>IF('INPUT DATA'!K22="","",'INPUT DATA'!K22)</f>
      </c>
      <c r="D29" s="185"/>
      <c r="E29" s="186"/>
      <c r="F29" s="70"/>
      <c r="G29" s="71"/>
      <c r="H29" s="71"/>
      <c r="I29" s="71"/>
      <c r="J29" s="72"/>
      <c r="K29" s="73" t="str">
        <f t="shared" si="0"/>
      </c>
      <c r="L29" s="74" t="str">
        <f t="shared" si="1"/>
      </c>
      <c r="M29" s="75" t="str">
        <f t="shared" si="2"/>
      </c>
      <c r="N29" s="70"/>
      <c r="O29" s="71"/>
      <c r="P29" s="72"/>
      <c r="Q29" s="73" t="str">
        <f t="shared" si="3"/>
      </c>
      <c r="R29" s="74" t="str">
        <f t="shared" si="4"/>
      </c>
      <c r="S29" s="75" t="str">
        <f t="shared" si="5"/>
      </c>
      <c r="T29" s="70"/>
      <c r="U29" s="71"/>
      <c r="V29" s="72"/>
      <c r="W29" s="77" t="str">
        <f t="shared" si="6"/>
      </c>
      <c r="X29" s="74" t="str">
        <f t="shared" si="7"/>
      </c>
      <c r="Y29" s="75" t="str">
        <f t="shared" si="8"/>
      </c>
      <c r="Z29" s="78" t="str">
        <f t="shared" si="9"/>
      </c>
      <c r="AA29" s="79" t="str">
        <f t="shared" si="10"/>
      </c>
      <c r="AB29" s="80" t="str">
        <f t="shared" si="11"/>
      </c>
      <c r="AC29" s="81" t="str">
        <f t="array" ref="AC29">IF(AB29="","",IFERROR(INDEX(HELPER!$D$8:$D$48,IF(AB29&gt;=HELPER!$B$8,1,MATCH(AB29,HELPER!$B$8:$B$48,-1)+1)),""))</f>
      </c>
      <c r="AD29" s="82" t="str">
        <f>IF(AC29="","",IFERROR(VLOOKUP(AC29,HELPER!$F$8:$G$48,2,FALSE),""))</f>
      </c>
      <c r="AE29" s="3"/>
      <c r="AF29" s="4"/>
    </row>
    <row r="30" spans="1:32" ht="15" customHeight="1" x14ac:dyDescent="0.15">
      <c r="A30" s="3"/>
      <c r="B30" s="69">
        <v>13</v>
      </c>
      <c r="C30" s="184" t="str">
        <f>IF('INPUT DATA'!K23="","",'INPUT DATA'!K23)</f>
      </c>
      <c r="D30" s="185"/>
      <c r="E30" s="186"/>
      <c r="F30" s="70"/>
      <c r="G30" s="71"/>
      <c r="H30" s="71"/>
      <c r="I30" s="71"/>
      <c r="J30" s="72"/>
      <c r="K30" s="73" t="str">
        <f t="shared" si="0"/>
      </c>
      <c r="L30" s="74" t="str">
        <f t="shared" si="1"/>
      </c>
      <c r="M30" s="75" t="str">
        <f t="shared" si="2"/>
      </c>
      <c r="N30" s="70"/>
      <c r="O30" s="71"/>
      <c r="P30" s="72"/>
      <c r="Q30" s="73" t="str">
        <f t="shared" si="3"/>
      </c>
      <c r="R30" s="74" t="str">
        <f t="shared" si="4"/>
      </c>
      <c r="S30" s="75" t="str">
        <f t="shared" si="5"/>
      </c>
      <c r="T30" s="70"/>
      <c r="U30" s="71"/>
      <c r="V30" s="72"/>
      <c r="W30" s="77" t="str">
        <f t="shared" si="6"/>
      </c>
      <c r="X30" s="74" t="str">
        <f t="shared" si="7"/>
      </c>
      <c r="Y30" s="75" t="str">
        <f t="shared" si="8"/>
      </c>
      <c r="Z30" s="78" t="str">
        <f t="shared" si="9"/>
      </c>
      <c r="AA30" s="79" t="str">
        <f t="shared" si="10"/>
      </c>
      <c r="AB30" s="80" t="str">
        <f t="shared" si="11"/>
      </c>
      <c r="AC30" s="81" t="str">
        <f t="array" ref="AC30">IF(AB30="","",IFERROR(INDEX(HELPER!$D$8:$D$48,IF(AB30&gt;=HELPER!$B$8,1,MATCH(AB30,HELPER!$B$8:$B$48,-1)+1)),""))</f>
      </c>
      <c r="AD30" s="82" t="str">
        <f>IF(AC30="","",IFERROR(VLOOKUP(AC30,HELPER!$F$8:$G$48,2,FALSE),""))</f>
      </c>
      <c r="AE30" s="3"/>
      <c r="AF30" s="4"/>
    </row>
    <row r="31" spans="1:32" ht="15" customHeight="1" x14ac:dyDescent="0.15">
      <c r="A31" s="3"/>
      <c r="B31" s="69">
        <v>14</v>
      </c>
      <c r="C31" s="184" t="str">
        <f>IF('INPUT DATA'!K24="","",'INPUT DATA'!K24)</f>
      </c>
      <c r="D31" s="185"/>
      <c r="E31" s="186"/>
      <c r="F31" s="70"/>
      <c r="G31" s="71"/>
      <c r="H31" s="71"/>
      <c r="I31" s="71"/>
      <c r="J31" s="72"/>
      <c r="K31" s="73" t="str">
        <f t="shared" si="0"/>
      </c>
      <c r="L31" s="74" t="str">
        <f t="shared" si="1"/>
      </c>
      <c r="M31" s="75" t="str">
        <f t="shared" si="2"/>
      </c>
      <c r="N31" s="70"/>
      <c r="O31" s="71"/>
      <c r="P31" s="72"/>
      <c r="Q31" s="73" t="str">
        <f t="shared" si="3"/>
      </c>
      <c r="R31" s="74" t="str">
        <f t="shared" si="4"/>
      </c>
      <c r="S31" s="75" t="str">
        <f t="shared" si="5"/>
      </c>
      <c r="T31" s="70"/>
      <c r="U31" s="71"/>
      <c r="V31" s="72"/>
      <c r="W31" s="77" t="str">
        <f t="shared" si="6"/>
      </c>
      <c r="X31" s="74" t="str">
        <f t="shared" si="7"/>
      </c>
      <c r="Y31" s="75" t="str">
        <f t="shared" si="8"/>
      </c>
      <c r="Z31" s="78" t="str">
        <f t="shared" si="9"/>
      </c>
      <c r="AA31" s="79" t="str">
        <f t="shared" si="10"/>
      </c>
      <c r="AB31" s="80" t="str">
        <f t="shared" si="11"/>
      </c>
      <c r="AC31" s="81" t="str">
        <f t="array" ref="AC31">IF(AB31="","",IFERROR(INDEX(HELPER!$D$8:$D$48,IF(AB31&gt;=HELPER!$B$8,1,MATCH(AB31,HELPER!$B$8:$B$48,-1)+1)),""))</f>
      </c>
      <c r="AD31" s="82" t="str">
        <f>IF(AC31="","",IFERROR(VLOOKUP(AC31,HELPER!$F$8:$G$48,2,FALSE),""))</f>
      </c>
      <c r="AE31" s="3"/>
      <c r="AF31" s="4"/>
    </row>
    <row r="32" spans="1:32" ht="15" customHeight="1" x14ac:dyDescent="0.15">
      <c r="A32" s="3"/>
      <c r="B32" s="69">
        <v>15</v>
      </c>
      <c r="C32" s="184" t="str">
        <f>IF('INPUT DATA'!K25="","",'INPUT DATA'!K25)</f>
      </c>
      <c r="D32" s="185"/>
      <c r="E32" s="186"/>
      <c r="F32" s="70"/>
      <c r="G32" s="71"/>
      <c r="H32" s="71"/>
      <c r="I32" s="71"/>
      <c r="J32" s="72"/>
      <c r="K32" s="73" t="str">
        <f t="shared" si="0"/>
      </c>
      <c r="L32" s="74" t="str">
        <f t="shared" si="1"/>
      </c>
      <c r="M32" s="75" t="str">
        <f t="shared" si="2"/>
      </c>
      <c r="N32" s="70"/>
      <c r="O32" s="71"/>
      <c r="P32" s="72"/>
      <c r="Q32" s="73" t="str">
        <f t="shared" si="3"/>
      </c>
      <c r="R32" s="74" t="str">
        <f t="shared" si="4"/>
      </c>
      <c r="S32" s="75" t="str">
        <f t="shared" si="5"/>
      </c>
      <c r="T32" s="70"/>
      <c r="U32" s="71"/>
      <c r="V32" s="72"/>
      <c r="W32" s="77" t="str">
        <f t="shared" si="6"/>
      </c>
      <c r="X32" s="74" t="str">
        <f t="shared" si="7"/>
      </c>
      <c r="Y32" s="75" t="str">
        <f t="shared" si="8"/>
      </c>
      <c r="Z32" s="78" t="str">
        <f t="shared" si="9"/>
      </c>
      <c r="AA32" s="79" t="str">
        <f t="shared" si="10"/>
      </c>
      <c r="AB32" s="80" t="str">
        <f t="shared" si="11"/>
      </c>
      <c r="AC32" s="81" t="str">
        <f t="array" ref="AC32">IF(AB32="","",IFERROR(INDEX(HELPER!$D$8:$D$48,IF(AB32&gt;=HELPER!$B$8,1,MATCH(AB32,HELPER!$B$8:$B$48,-1)+1)),""))</f>
      </c>
      <c r="AD32" s="82" t="str">
        <f>IF(AC32="","",IFERROR(VLOOKUP(AC32,HELPER!$F$8:$G$48,2,FALSE),""))</f>
      </c>
      <c r="AE32" s="3"/>
      <c r="AF32" s="4"/>
    </row>
    <row r="33" spans="1:32" ht="15" customHeight="1" x14ac:dyDescent="0.15">
      <c r="A33" s="3"/>
      <c r="B33" s="69">
        <v>16</v>
      </c>
      <c r="C33" s="184" t="str">
        <f>IF('INPUT DATA'!K26="","",'INPUT DATA'!K26)</f>
      </c>
      <c r="D33" s="185"/>
      <c r="E33" s="186"/>
      <c r="F33" s="70"/>
      <c r="G33" s="71"/>
      <c r="H33" s="71"/>
      <c r="I33" s="71"/>
      <c r="J33" s="72"/>
      <c r="K33" s="73" t="str">
        <f t="shared" si="0"/>
      </c>
      <c r="L33" s="74" t="str">
        <f t="shared" si="1"/>
      </c>
      <c r="M33" s="75" t="str">
        <f t="shared" si="2"/>
      </c>
      <c r="N33" s="70"/>
      <c r="O33" s="71"/>
      <c r="P33" s="72"/>
      <c r="Q33" s="73" t="str">
        <f t="shared" si="3"/>
      </c>
      <c r="R33" s="74" t="str">
        <f t="shared" si="4"/>
      </c>
      <c r="S33" s="75" t="str">
        <f t="shared" si="5"/>
      </c>
      <c r="T33" s="70"/>
      <c r="U33" s="71"/>
      <c r="V33" s="72"/>
      <c r="W33" s="77" t="str">
        <f t="shared" si="6"/>
      </c>
      <c r="X33" s="74" t="str">
        <f t="shared" si="7"/>
      </c>
      <c r="Y33" s="75" t="str">
        <f t="shared" si="8"/>
      </c>
      <c r="Z33" s="78" t="str">
        <f t="shared" si="9"/>
      </c>
      <c r="AA33" s="79" t="str">
        <f t="shared" si="10"/>
      </c>
      <c r="AB33" s="80" t="str">
        <f t="shared" si="11"/>
      </c>
      <c r="AC33" s="81" t="str">
        <f t="array" ref="AC33">IF(AB33="","",IFERROR(INDEX(HELPER!$D$8:$D$48,IF(AB33&gt;=HELPER!$B$8,1,MATCH(AB33,HELPER!$B$8:$B$48,-1)+1)),""))</f>
      </c>
      <c r="AD33" s="82" t="str">
        <f>IF(AC33="","",IFERROR(VLOOKUP(AC33,HELPER!$F$8:$G$48,2,FALSE),""))</f>
      </c>
      <c r="AE33" s="3"/>
      <c r="AF33" s="4"/>
    </row>
    <row r="34" spans="1:32" ht="15" customHeight="1" x14ac:dyDescent="0.15">
      <c r="A34" s="3"/>
      <c r="B34" s="69">
        <v>17</v>
      </c>
      <c r="C34" s="184" t="str">
        <f>IF('INPUT DATA'!K27="","",'INPUT DATA'!K27)</f>
      </c>
      <c r="D34" s="185"/>
      <c r="E34" s="186"/>
      <c r="F34" s="70"/>
      <c r="G34" s="71"/>
      <c r="H34" s="71"/>
      <c r="I34" s="71"/>
      <c r="J34" s="72"/>
      <c r="K34" s="73" t="str">
        <f t="shared" si="0"/>
      </c>
      <c r="L34" s="74" t="str">
        <f t="shared" si="1"/>
      </c>
      <c r="M34" s="75" t="str">
        <f t="shared" si="2"/>
      </c>
      <c r="N34" s="70"/>
      <c r="O34" s="71"/>
      <c r="P34" s="72"/>
      <c r="Q34" s="73" t="str">
        <f t="shared" si="3"/>
      </c>
      <c r="R34" s="74" t="str">
        <f t="shared" si="4"/>
      </c>
      <c r="S34" s="75" t="str">
        <f t="shared" si="5"/>
      </c>
      <c r="T34" s="70"/>
      <c r="U34" s="71"/>
      <c r="V34" s="72"/>
      <c r="W34" s="77" t="str">
        <f t="shared" si="6"/>
      </c>
      <c r="X34" s="74" t="str">
        <f t="shared" si="7"/>
      </c>
      <c r="Y34" s="75" t="str">
        <f t="shared" si="8"/>
      </c>
      <c r="Z34" s="78" t="str">
        <f t="shared" si="9"/>
      </c>
      <c r="AA34" s="79" t="str">
        <f t="shared" si="10"/>
      </c>
      <c r="AB34" s="80" t="str">
        <f t="shared" si="11"/>
      </c>
      <c r="AC34" s="81" t="str">
        <f t="array" ref="AC34">IF(AB34="","",IFERROR(INDEX(HELPER!$D$8:$D$48,IF(AB34&gt;=HELPER!$B$8,1,MATCH(AB34,HELPER!$B$8:$B$48,-1)+1)),""))</f>
      </c>
      <c r="AD34" s="82" t="str">
        <f>IF(AC34="","",IFERROR(VLOOKUP(AC34,HELPER!$F$8:$G$48,2,FALSE),""))</f>
      </c>
      <c r="AE34" s="3"/>
      <c r="AF34" s="4"/>
    </row>
    <row r="35" spans="1:32" ht="15" customHeight="1" x14ac:dyDescent="0.15">
      <c r="A35" s="3"/>
      <c r="B35" s="69">
        <v>18</v>
      </c>
      <c r="C35" s="184" t="str">
        <f>IF('INPUT DATA'!K28="","",'INPUT DATA'!K28)</f>
      </c>
      <c r="D35" s="185"/>
      <c r="E35" s="186"/>
      <c r="F35" s="70"/>
      <c r="G35" s="71"/>
      <c r="H35" s="71"/>
      <c r="I35" s="71"/>
      <c r="J35" s="72"/>
      <c r="K35" s="73" t="str">
        <f t="shared" si="0"/>
      </c>
      <c r="L35" s="74" t="str">
        <f t="shared" si="1"/>
      </c>
      <c r="M35" s="75" t="str">
        <f t="shared" si="2"/>
      </c>
      <c r="N35" s="70"/>
      <c r="O35" s="71"/>
      <c r="P35" s="72"/>
      <c r="Q35" s="73" t="str">
        <f t="shared" si="3"/>
      </c>
      <c r="R35" s="74" t="str">
        <f t="shared" si="4"/>
      </c>
      <c r="S35" s="75" t="str">
        <f t="shared" si="5"/>
      </c>
      <c r="T35" s="70"/>
      <c r="U35" s="71"/>
      <c r="V35" s="72"/>
      <c r="W35" s="77" t="str">
        <f t="shared" si="6"/>
      </c>
      <c r="X35" s="74" t="str">
        <f t="shared" si="7"/>
      </c>
      <c r="Y35" s="75" t="str">
        <f t="shared" si="8"/>
      </c>
      <c r="Z35" s="78" t="str">
        <f t="shared" si="9"/>
      </c>
      <c r="AA35" s="79" t="str">
        <f t="shared" si="10"/>
      </c>
      <c r="AB35" s="80" t="str">
        <f t="shared" si="11"/>
      </c>
      <c r="AC35" s="81" t="str">
        <f t="array" ref="AC35">IF(AB35="","",IFERROR(INDEX(HELPER!$D$8:$D$48,IF(AB35&gt;=HELPER!$B$8,1,MATCH(AB35,HELPER!$B$8:$B$48,-1)+1)),""))</f>
      </c>
      <c r="AD35" s="82" t="str">
        <f>IF(AC35="","",IFERROR(VLOOKUP(AC35,HELPER!$F$8:$G$48,2,FALSE),""))</f>
      </c>
      <c r="AE35" s="3"/>
      <c r="AF35" s="4"/>
    </row>
    <row r="36" spans="1:32" ht="15" customHeight="1" x14ac:dyDescent="0.15">
      <c r="A36" s="3"/>
      <c r="B36" s="69">
        <v>19</v>
      </c>
      <c r="C36" s="184" t="str">
        <f>IF('INPUT DATA'!K29="","",'INPUT DATA'!K29)</f>
      </c>
      <c r="D36" s="185"/>
      <c r="E36" s="186"/>
      <c r="F36" s="70"/>
      <c r="G36" s="71"/>
      <c r="H36" s="71"/>
      <c r="I36" s="71"/>
      <c r="J36" s="72"/>
      <c r="K36" s="73" t="str">
        <f t="shared" si="0"/>
      </c>
      <c r="L36" s="74" t="str">
        <f t="shared" si="1"/>
      </c>
      <c r="M36" s="75" t="str">
        <f t="shared" si="2"/>
      </c>
      <c r="N36" s="70"/>
      <c r="O36" s="71"/>
      <c r="P36" s="72"/>
      <c r="Q36" s="73" t="str">
        <f t="shared" si="3"/>
      </c>
      <c r="R36" s="74" t="str">
        <f t="shared" si="4"/>
      </c>
      <c r="S36" s="75" t="str">
        <f t="shared" si="5"/>
      </c>
      <c r="T36" s="70"/>
      <c r="U36" s="71"/>
      <c r="V36" s="72"/>
      <c r="W36" s="77" t="str">
        <f t="shared" si="6"/>
      </c>
      <c r="X36" s="74" t="str">
        <f t="shared" si="7"/>
      </c>
      <c r="Y36" s="75" t="str">
        <f t="shared" si="8"/>
      </c>
      <c r="Z36" s="78" t="str">
        <f t="shared" si="9"/>
      </c>
      <c r="AA36" s="79" t="str">
        <f t="shared" si="10"/>
      </c>
      <c r="AB36" s="80" t="str">
        <f t="shared" si="11"/>
      </c>
      <c r="AC36" s="81" t="str">
        <f t="array" ref="AC36">IF(AB36="","",IFERROR(INDEX(HELPER!$D$8:$D$48,IF(AB36&gt;=HELPER!$B$8,1,MATCH(AB36,HELPER!$B$8:$B$48,-1)+1)),""))</f>
      </c>
      <c r="AD36" s="82" t="str">
        <f>IF(AC36="","",IFERROR(VLOOKUP(AC36,HELPER!$F$8:$G$48,2,FALSE),""))</f>
      </c>
      <c r="AE36" s="3"/>
      <c r="AF36" s="4"/>
    </row>
    <row r="37" spans="1:32" ht="15" customHeight="1" x14ac:dyDescent="0.15">
      <c r="A37" s="3"/>
      <c r="B37" s="98">
        <v>20</v>
      </c>
      <c r="C37" s="184" t="str">
        <f>IF('INPUT DATA'!K30="","",'INPUT DATA'!K30)</f>
      </c>
      <c r="D37" s="185"/>
      <c r="E37" s="186"/>
      <c r="F37" s="70"/>
      <c r="G37" s="71"/>
      <c r="H37" s="71"/>
      <c r="I37" s="71"/>
      <c r="J37" s="72"/>
      <c r="K37" s="73" t="str">
        <f t="shared" si="0"/>
      </c>
      <c r="L37" s="74" t="str">
        <f t="shared" si="1"/>
      </c>
      <c r="M37" s="75" t="str">
        <f t="shared" si="2"/>
      </c>
      <c r="N37" s="70"/>
      <c r="O37" s="71"/>
      <c r="P37" s="72"/>
      <c r="Q37" s="73" t="str">
        <f t="shared" si="3"/>
      </c>
      <c r="R37" s="74" t="str">
        <f t="shared" si="4"/>
      </c>
      <c r="S37" s="75" t="str">
        <f t="shared" si="5"/>
      </c>
      <c r="T37" s="70"/>
      <c r="U37" s="71"/>
      <c r="V37" s="72"/>
      <c r="W37" s="77" t="str">
        <f t="shared" si="6"/>
      </c>
      <c r="X37" s="74" t="str">
        <f t="shared" si="7"/>
      </c>
      <c r="Y37" s="75" t="str">
        <f t="shared" si="8"/>
      </c>
      <c r="Z37" s="78" t="str">
        <f t="shared" si="9"/>
      </c>
      <c r="AA37" s="79" t="str">
        <f t="shared" si="10"/>
      </c>
      <c r="AB37" s="80" t="str">
        <f t="shared" si="11"/>
      </c>
      <c r="AC37" s="81" t="str">
        <f t="array" ref="AC37">IF(AB37="","",IFERROR(INDEX(HELPER!$D$8:$D$48,IF(AB37&gt;=HELPER!$B$8,1,MATCH(AB37,HELPER!$B$8:$B$48,-1)+1)),""))</f>
      </c>
      <c r="AD37" s="82" t="str">
        <f>IF(AC37="","",IFERROR(VLOOKUP(AC37,HELPER!$F$8:$G$48,2,FALSE),""))</f>
      </c>
      <c r="AE37" s="3"/>
      <c r="AF37" s="4"/>
    </row>
    <row r="38" spans="1:32" ht="15" customHeight="1" x14ac:dyDescent="0.15">
      <c r="A38" s="3"/>
      <c r="B38" s="98">
        <v>21</v>
      </c>
      <c r="C38" s="184" t="str">
        <f>IF('INPUT DATA'!K31="","",'INPUT DATA'!K31)</f>
      </c>
      <c r="D38" s="185"/>
      <c r="E38" s="186"/>
      <c r="F38" s="70"/>
      <c r="G38" s="71"/>
      <c r="H38" s="71"/>
      <c r="I38" s="71"/>
      <c r="J38" s="72"/>
      <c r="K38" s="73" t="str">
        <f t="shared" si="0"/>
      </c>
      <c r="L38" s="74" t="str">
        <f t="shared" si="1"/>
      </c>
      <c r="M38" s="75" t="str">
        <f t="shared" si="2"/>
      </c>
      <c r="N38" s="70"/>
      <c r="O38" s="71"/>
      <c r="P38" s="72"/>
      <c r="Q38" s="73" t="str">
        <f t="shared" si="3"/>
      </c>
      <c r="R38" s="74" t="str">
        <f t="shared" si="4"/>
      </c>
      <c r="S38" s="75" t="str">
        <f t="shared" si="5"/>
      </c>
      <c r="T38" s="70"/>
      <c r="U38" s="71"/>
      <c r="V38" s="72"/>
      <c r="W38" s="77" t="str">
        <f t="shared" si="6"/>
      </c>
      <c r="X38" s="74" t="str">
        <f t="shared" si="7"/>
      </c>
      <c r="Y38" s="75" t="str">
        <f t="shared" si="8"/>
      </c>
      <c r="Z38" s="78" t="str">
        <f t="shared" si="9"/>
      </c>
      <c r="AA38" s="79" t="str">
        <f t="shared" si="10"/>
      </c>
      <c r="AB38" s="80" t="str">
        <f t="shared" si="11"/>
      </c>
      <c r="AC38" s="81" t="str">
        <f t="array" ref="AC38">IF(AB38="","",IFERROR(INDEX(HELPER!$D$8:$D$48,IF(AB38&gt;=HELPER!$B$8,1,MATCH(AB38,HELPER!$B$8:$B$48,-1)+1)),""))</f>
      </c>
      <c r="AD38" s="82" t="str">
        <f>IF(AC38="","",IFERROR(VLOOKUP(AC38,HELPER!$F$8:$G$48,2,FALSE),""))</f>
      </c>
      <c r="AE38" s="3"/>
      <c r="AF38" s="4"/>
    </row>
    <row r="39" spans="1:32" ht="15" customHeight="1" x14ac:dyDescent="0.15">
      <c r="A39" s="3"/>
      <c r="B39" s="98">
        <v>22</v>
      </c>
      <c r="C39" s="184" t="str">
        <f>IF('INPUT DATA'!K32="","",'INPUT DATA'!K32)</f>
      </c>
      <c r="D39" s="185"/>
      <c r="E39" s="186"/>
      <c r="F39" s="70"/>
      <c r="G39" s="71"/>
      <c r="H39" s="71"/>
      <c r="I39" s="71"/>
      <c r="J39" s="72"/>
      <c r="K39" s="73" t="str">
        <f t="shared" si="0"/>
      </c>
      <c r="L39" s="74" t="str">
        <f t="shared" si="1"/>
      </c>
      <c r="M39" s="75" t="str">
        <f t="shared" si="2"/>
      </c>
      <c r="N39" s="70"/>
      <c r="O39" s="71"/>
      <c r="P39" s="72"/>
      <c r="Q39" s="73" t="str">
        <f t="shared" si="3"/>
      </c>
      <c r="R39" s="74" t="str">
        <f t="shared" si="4"/>
      </c>
      <c r="S39" s="75" t="str">
        <f t="shared" si="5"/>
      </c>
      <c r="T39" s="70"/>
      <c r="U39" s="71"/>
      <c r="V39" s="72"/>
      <c r="W39" s="77" t="str">
        <f t="shared" si="6"/>
      </c>
      <c r="X39" s="74" t="str">
        <f t="shared" si="7"/>
      </c>
      <c r="Y39" s="75" t="str">
        <f t="shared" si="8"/>
      </c>
      <c r="Z39" s="78" t="str">
        <f t="shared" si="9"/>
      </c>
      <c r="AA39" s="79" t="str">
        <f t="shared" si="10"/>
      </c>
      <c r="AB39" s="80" t="str">
        <f t="shared" si="11"/>
      </c>
      <c r="AC39" s="81" t="str">
        <f t="array" ref="AC39">IF(AB39="","",IFERROR(INDEX(HELPER!$D$8:$D$48,IF(AB39&gt;=HELPER!$B$8,1,MATCH(AB39,HELPER!$B$8:$B$48,-1)+1)),""))</f>
      </c>
      <c r="AD39" s="82" t="str">
        <f>IF(AC39="","",IFERROR(VLOOKUP(AC39,HELPER!$F$8:$G$48,2,FALSE),""))</f>
      </c>
      <c r="AE39" s="3"/>
      <c r="AF39" s="4"/>
    </row>
    <row r="40" spans="1:32" ht="15" customHeight="1" x14ac:dyDescent="0.15">
      <c r="A40" s="3"/>
      <c r="B40" s="98">
        <v>23</v>
      </c>
      <c r="C40" s="184" t="str">
        <f>IF('INPUT DATA'!K33="","",'INPUT DATA'!K33)</f>
      </c>
      <c r="D40" s="185"/>
      <c r="E40" s="186"/>
      <c r="F40" s="70"/>
      <c r="G40" s="71"/>
      <c r="H40" s="71"/>
      <c r="I40" s="71"/>
      <c r="J40" s="72"/>
      <c r="K40" s="73" t="str">
        <f t="shared" si="0"/>
      </c>
      <c r="L40" s="74" t="str">
        <f t="shared" si="1"/>
      </c>
      <c r="M40" s="75" t="str">
        <f t="shared" si="2"/>
      </c>
      <c r="N40" s="70"/>
      <c r="O40" s="71"/>
      <c r="P40" s="72"/>
      <c r="Q40" s="73" t="str">
        <f t="shared" si="3"/>
      </c>
      <c r="R40" s="74" t="str">
        <f t="shared" si="4"/>
      </c>
      <c r="S40" s="75" t="str">
        <f t="shared" si="5"/>
      </c>
      <c r="T40" s="70"/>
      <c r="U40" s="71"/>
      <c r="V40" s="72"/>
      <c r="W40" s="77" t="str">
        <f t="shared" si="6"/>
      </c>
      <c r="X40" s="74" t="str">
        <f t="shared" si="7"/>
      </c>
      <c r="Y40" s="75" t="str">
        <f t="shared" si="8"/>
      </c>
      <c r="Z40" s="78" t="str">
        <f t="shared" si="9"/>
      </c>
      <c r="AA40" s="79" t="str">
        <f t="shared" si="10"/>
      </c>
      <c r="AB40" s="80" t="str">
        <f t="shared" si="11"/>
      </c>
      <c r="AC40" s="81" t="str">
        <f t="array" ref="AC40">IF(AB40="","",IFERROR(INDEX(HELPER!$D$8:$D$48,IF(AB40&gt;=HELPER!$B$8,1,MATCH(AB40,HELPER!$B$8:$B$48,-1)+1)),""))</f>
      </c>
      <c r="AD40" s="82" t="str">
        <f>IF(AC40="","",IFERROR(VLOOKUP(AC40,HELPER!$F$8:$G$48,2,FALSE),""))</f>
      </c>
      <c r="AE40" s="3"/>
      <c r="AF40" s="4"/>
    </row>
    <row r="41" spans="1:32" ht="15" customHeight="1" x14ac:dyDescent="0.15">
      <c r="A41" s="3"/>
      <c r="B41" s="98">
        <v>24</v>
      </c>
      <c r="C41" s="184" t="str">
        <f>IF('INPUT DATA'!K34="","",'INPUT DATA'!K34)</f>
      </c>
      <c r="D41" s="185"/>
      <c r="E41" s="186"/>
      <c r="F41" s="70"/>
      <c r="G41" s="71"/>
      <c r="H41" s="71"/>
      <c r="I41" s="71"/>
      <c r="J41" s="72"/>
      <c r="K41" s="73" t="str">
        <f t="shared" si="0"/>
      </c>
      <c r="L41" s="74" t="str">
        <f t="shared" si="1"/>
      </c>
      <c r="M41" s="75" t="str">
        <f t="shared" si="2"/>
      </c>
      <c r="N41" s="70"/>
      <c r="O41" s="71"/>
      <c r="P41" s="72"/>
      <c r="Q41" s="73" t="str">
        <f t="shared" si="3"/>
      </c>
      <c r="R41" s="74" t="str">
        <f t="shared" si="4"/>
      </c>
      <c r="S41" s="75" t="str">
        <f t="shared" si="5"/>
      </c>
      <c r="T41" s="70"/>
      <c r="U41" s="71"/>
      <c r="V41" s="72"/>
      <c r="W41" s="77" t="str">
        <f t="shared" si="6"/>
      </c>
      <c r="X41" s="74" t="str">
        <f t="shared" si="7"/>
      </c>
      <c r="Y41" s="75" t="str">
        <f t="shared" si="8"/>
      </c>
      <c r="Z41" s="78" t="str">
        <f t="shared" si="9"/>
      </c>
      <c r="AA41" s="79" t="str">
        <f t="shared" si="10"/>
      </c>
      <c r="AB41" s="80" t="str">
        <f t="shared" si="11"/>
      </c>
      <c r="AC41" s="81" t="str">
        <f t="array" ref="AC41">IF(AB41="","",IFERROR(INDEX(HELPER!$D$8:$D$48,IF(AB41&gt;=HELPER!$B$8,1,MATCH(AB41,HELPER!$B$8:$B$48,-1)+1)),""))</f>
      </c>
      <c r="AD41" s="82" t="str">
        <f>IF(AC41="","",IFERROR(VLOOKUP(AC41,HELPER!$F$8:$G$48,2,FALSE),""))</f>
      </c>
      <c r="AE41" s="3"/>
      <c r="AF41" s="4"/>
    </row>
    <row r="42" spans="1:32" ht="15" customHeight="1" x14ac:dyDescent="0.15">
      <c r="A42" s="3"/>
      <c r="B42" s="98">
        <v>25</v>
      </c>
      <c r="C42" s="184" t="str">
        <f>IF('INPUT DATA'!K35="","",'INPUT DATA'!K35)</f>
      </c>
      <c r="D42" s="185"/>
      <c r="E42" s="186"/>
      <c r="F42" s="70"/>
      <c r="G42" s="71"/>
      <c r="H42" s="71"/>
      <c r="I42" s="71"/>
      <c r="J42" s="72"/>
      <c r="K42" s="73" t="str">
        <f t="shared" si="0"/>
      </c>
      <c r="L42" s="74" t="str">
        <f t="shared" si="1"/>
      </c>
      <c r="M42" s="75" t="str">
        <f t="shared" si="2"/>
      </c>
      <c r="N42" s="70"/>
      <c r="O42" s="71"/>
      <c r="P42" s="72"/>
      <c r="Q42" s="73" t="str">
        <f t="shared" si="3"/>
      </c>
      <c r="R42" s="74" t="str">
        <f t="shared" si="4"/>
      </c>
      <c r="S42" s="75" t="str">
        <f t="shared" si="5"/>
      </c>
      <c r="T42" s="70"/>
      <c r="U42" s="71"/>
      <c r="V42" s="72"/>
      <c r="W42" s="77" t="str">
        <f t="shared" si="6"/>
      </c>
      <c r="X42" s="74" t="str">
        <f t="shared" si="7"/>
      </c>
      <c r="Y42" s="75" t="str">
        <f t="shared" si="8"/>
      </c>
      <c r="Z42" s="78" t="str">
        <f t="shared" si="9"/>
      </c>
      <c r="AA42" s="79" t="str">
        <f t="shared" si="10"/>
      </c>
      <c r="AB42" s="80" t="str">
        <f t="shared" si="11"/>
      </c>
      <c r="AC42" s="81" t="str">
        <f t="array" ref="AC42">IF(AB42="","",IFERROR(INDEX(HELPER!$D$8:$D$48,IF(AB42&gt;=HELPER!$B$8,1,MATCH(AB42,HELPER!$B$8:$B$48,-1)+1)),""))</f>
      </c>
      <c r="AD42" s="82" t="str">
        <f>IF(AC42="","",IFERROR(VLOOKUP(AC42,HELPER!$F$8:$G$48,2,FALSE),""))</f>
      </c>
      <c r="AE42" s="3"/>
      <c r="AF42" s="4"/>
    </row>
    <row r="43" spans="1:32" ht="15" customHeight="1" x14ac:dyDescent="0.15">
      <c r="A43" s="3"/>
      <c r="B43" s="98">
        <v>26</v>
      </c>
      <c r="C43" s="184" t="str">
        <f>IF('INPUT DATA'!K36="","",'INPUT DATA'!K36)</f>
      </c>
      <c r="D43" s="185"/>
      <c r="E43" s="186"/>
      <c r="F43" s="70"/>
      <c r="G43" s="71"/>
      <c r="H43" s="71"/>
      <c r="I43" s="71"/>
      <c r="J43" s="72"/>
      <c r="K43" s="73" t="str">
        <f t="shared" si="0"/>
      </c>
      <c r="L43" s="74" t="str">
        <f t="shared" si="1"/>
      </c>
      <c r="M43" s="75" t="str">
        <f t="shared" si="2"/>
      </c>
      <c r="N43" s="70"/>
      <c r="O43" s="71"/>
      <c r="P43" s="72"/>
      <c r="Q43" s="73" t="str">
        <f t="shared" si="3"/>
      </c>
      <c r="R43" s="74" t="str">
        <f t="shared" si="4"/>
      </c>
      <c r="S43" s="75" t="str">
        <f t="shared" si="5"/>
      </c>
      <c r="T43" s="70"/>
      <c r="U43" s="71"/>
      <c r="V43" s="72"/>
      <c r="W43" s="77" t="str">
        <f t="shared" si="6"/>
      </c>
      <c r="X43" s="74" t="str">
        <f t="shared" si="7"/>
      </c>
      <c r="Y43" s="75" t="str">
        <f t="shared" si="8"/>
      </c>
      <c r="Z43" s="78" t="str">
        <f t="shared" si="9"/>
      </c>
      <c r="AA43" s="79" t="str">
        <f t="shared" si="10"/>
      </c>
      <c r="AB43" s="80" t="str">
        <f t="shared" si="11"/>
      </c>
      <c r="AC43" s="81" t="str">
        <f t="array" ref="AC43">IF(AB43="","",IFERROR(INDEX(HELPER!$D$8:$D$48,IF(AB43&gt;=HELPER!$B$8,1,MATCH(AB43,HELPER!$B$8:$B$48,-1)+1)),""))</f>
      </c>
      <c r="AD43" s="82" t="str">
        <f>IF(AC43="","",IFERROR(VLOOKUP(AC43,HELPER!$F$8:$G$48,2,FALSE),""))</f>
      </c>
      <c r="AE43" s="3"/>
      <c r="AF43" s="4"/>
    </row>
    <row r="44" spans="1:32" ht="15" customHeight="1" x14ac:dyDescent="0.15">
      <c r="A44" s="3"/>
      <c r="B44" s="98">
        <v>27</v>
      </c>
      <c r="C44" s="184" t="str">
        <f>IF('INPUT DATA'!K37="","",'INPUT DATA'!K37)</f>
      </c>
      <c r="D44" s="185"/>
      <c r="E44" s="186"/>
      <c r="F44" s="70"/>
      <c r="G44" s="71"/>
      <c r="H44" s="71"/>
      <c r="I44" s="71"/>
      <c r="J44" s="72"/>
      <c r="K44" s="73" t="str">
        <f t="shared" si="0"/>
      </c>
      <c r="L44" s="74" t="str">
        <f t="shared" si="1"/>
      </c>
      <c r="M44" s="75" t="str">
        <f t="shared" si="2"/>
      </c>
      <c r="N44" s="70"/>
      <c r="O44" s="71"/>
      <c r="P44" s="72"/>
      <c r="Q44" s="73" t="str">
        <f t="shared" si="3"/>
      </c>
      <c r="R44" s="74" t="str">
        <f t="shared" si="4"/>
      </c>
      <c r="S44" s="75" t="str">
        <f t="shared" si="5"/>
      </c>
      <c r="T44" s="70"/>
      <c r="U44" s="71"/>
      <c r="V44" s="72"/>
      <c r="W44" s="77" t="str">
        <f t="shared" si="6"/>
      </c>
      <c r="X44" s="74" t="str">
        <f t="shared" si="7"/>
      </c>
      <c r="Y44" s="75" t="str">
        <f t="shared" si="8"/>
      </c>
      <c r="Z44" s="78" t="str">
        <f t="shared" si="9"/>
      </c>
      <c r="AA44" s="79" t="str">
        <f t="shared" si="10"/>
      </c>
      <c r="AB44" s="80" t="str">
        <f t="shared" si="11"/>
      </c>
      <c r="AC44" s="81" t="str">
        <f t="array" ref="AC44">IF(AB44="","",IFERROR(INDEX(HELPER!$D$8:$D$48,IF(AB44&gt;=HELPER!$B$8,1,MATCH(AB44,HELPER!$B$8:$B$48,-1)+1)),""))</f>
      </c>
      <c r="AD44" s="82" t="str">
        <f>IF(AC44="","",IFERROR(VLOOKUP(AC44,HELPER!$F$8:$G$48,2,FALSE),""))</f>
      </c>
      <c r="AE44" s="3"/>
      <c r="AF44" s="4"/>
    </row>
    <row r="45" spans="1:32" ht="15" customHeight="1" x14ac:dyDescent="0.15">
      <c r="A45" s="3"/>
      <c r="B45" s="98">
        <v>28</v>
      </c>
      <c r="C45" s="184" t="str">
        <f>IF('INPUT DATA'!K38="","",'INPUT DATA'!K38)</f>
      </c>
      <c r="D45" s="185"/>
      <c r="E45" s="186"/>
      <c r="F45" s="70"/>
      <c r="G45" s="71"/>
      <c r="H45" s="71"/>
      <c r="I45" s="71"/>
      <c r="J45" s="72"/>
      <c r="K45" s="73" t="str">
        <f t="shared" si="0"/>
      </c>
      <c r="L45" s="74" t="str">
        <f t="shared" si="1"/>
      </c>
      <c r="M45" s="75" t="str">
        <f t="shared" si="2"/>
      </c>
      <c r="N45" s="70"/>
      <c r="O45" s="71"/>
      <c r="P45" s="72"/>
      <c r="Q45" s="73" t="str">
        <f t="shared" si="3"/>
      </c>
      <c r="R45" s="74" t="str">
        <f t="shared" si="4"/>
      </c>
      <c r="S45" s="75" t="str">
        <f t="shared" si="5"/>
      </c>
      <c r="T45" s="70"/>
      <c r="U45" s="71"/>
      <c r="V45" s="72"/>
      <c r="W45" s="77" t="str">
        <f t="shared" si="6"/>
      </c>
      <c r="X45" s="74" t="str">
        <f t="shared" si="7"/>
      </c>
      <c r="Y45" s="75" t="str">
        <f t="shared" si="8"/>
      </c>
      <c r="Z45" s="78" t="str">
        <f t="shared" si="9"/>
      </c>
      <c r="AA45" s="79" t="str">
        <f t="shared" si="10"/>
      </c>
      <c r="AB45" s="80" t="str">
        <f t="shared" si="11"/>
      </c>
      <c r="AC45" s="81" t="str">
        <f t="array" ref="AC45">IF(AB45="","",IFERROR(INDEX(HELPER!$D$8:$D$48,IF(AB45&gt;=HELPER!$B$8,1,MATCH(AB45,HELPER!$B$8:$B$48,-1)+1)),""))</f>
      </c>
      <c r="AD45" s="82" t="str">
        <f>IF(AC45="","",IFERROR(VLOOKUP(AC45,HELPER!$F$8:$G$48,2,FALSE),""))</f>
      </c>
      <c r="AE45" s="3"/>
      <c r="AF45" s="4"/>
    </row>
    <row r="46" spans="1:32" ht="15" customHeight="1" x14ac:dyDescent="0.15">
      <c r="A46" s="3"/>
      <c r="B46" s="98">
        <v>29</v>
      </c>
      <c r="C46" s="184" t="str">
        <f>IF('INPUT DATA'!K39="","",'INPUT DATA'!K39)</f>
      </c>
      <c r="D46" s="185"/>
      <c r="E46" s="186"/>
      <c r="F46" s="70"/>
      <c r="G46" s="71"/>
      <c r="H46" s="71"/>
      <c r="I46" s="71"/>
      <c r="J46" s="72"/>
      <c r="K46" s="73" t="str">
        <f t="shared" si="0"/>
      </c>
      <c r="L46" s="74" t="str">
        <f t="shared" si="1"/>
      </c>
      <c r="M46" s="75" t="str">
        <f t="shared" si="2"/>
      </c>
      <c r="N46" s="70"/>
      <c r="O46" s="71"/>
      <c r="P46" s="72"/>
      <c r="Q46" s="73" t="str">
        <f t="shared" si="3"/>
      </c>
      <c r="R46" s="74" t="str">
        <f t="shared" si="4"/>
      </c>
      <c r="S46" s="75" t="str">
        <f t="shared" si="5"/>
      </c>
      <c r="T46" s="70"/>
      <c r="U46" s="71"/>
      <c r="V46" s="72"/>
      <c r="W46" s="77" t="str">
        <f t="shared" si="6"/>
      </c>
      <c r="X46" s="74" t="str">
        <f t="shared" si="7"/>
      </c>
      <c r="Y46" s="75" t="str">
        <f t="shared" si="8"/>
      </c>
      <c r="Z46" s="78" t="str">
        <f t="shared" si="9"/>
      </c>
      <c r="AA46" s="79" t="str">
        <f t="shared" si="10"/>
      </c>
      <c r="AB46" s="80" t="str">
        <f t="shared" si="11"/>
      </c>
      <c r="AC46" s="81" t="str">
        <f t="array" ref="AC46">IF(AB46="","",IFERROR(INDEX(HELPER!$D$8:$D$48,IF(AB46&gt;=HELPER!$B$8,1,MATCH(AB46,HELPER!$B$8:$B$48,-1)+1)),""))</f>
      </c>
      <c r="AD46" s="82" t="str">
        <f>IF(AC46="","",IFERROR(VLOOKUP(AC46,HELPER!$F$8:$G$48,2,FALSE),""))</f>
      </c>
      <c r="AE46" s="3"/>
      <c r="AF46" s="4"/>
    </row>
    <row r="47" spans="1:32" ht="15" customHeight="1" x14ac:dyDescent="0.15">
      <c r="A47" s="3"/>
      <c r="B47" s="98">
        <v>30</v>
      </c>
      <c r="C47" s="184" t="str">
        <f>IF('INPUT DATA'!K40="","",'INPUT DATA'!K40)</f>
      </c>
      <c r="D47" s="185"/>
      <c r="E47" s="186"/>
      <c r="F47" s="70"/>
      <c r="G47" s="71"/>
      <c r="H47" s="71"/>
      <c r="I47" s="71"/>
      <c r="J47" s="72"/>
      <c r="K47" s="73" t="str">
        <f t="shared" si="0"/>
      </c>
      <c r="L47" s="74" t="str">
        <f t="shared" si="1"/>
      </c>
      <c r="M47" s="75" t="str">
        <f t="shared" si="2"/>
      </c>
      <c r="N47" s="70"/>
      <c r="O47" s="71"/>
      <c r="P47" s="72"/>
      <c r="Q47" s="73" t="str">
        <f t="shared" si="3"/>
      </c>
      <c r="R47" s="74" t="str">
        <f t="shared" si="4"/>
      </c>
      <c r="S47" s="75" t="str">
        <f t="shared" si="5"/>
      </c>
      <c r="T47" s="70"/>
      <c r="U47" s="71"/>
      <c r="V47" s="72"/>
      <c r="W47" s="77" t="str">
        <f t="shared" si="6"/>
      </c>
      <c r="X47" s="74" t="str">
        <f t="shared" si="7"/>
      </c>
      <c r="Y47" s="75" t="str">
        <f t="shared" si="8"/>
      </c>
      <c r="Z47" s="78" t="str">
        <f t="shared" si="9"/>
      </c>
      <c r="AA47" s="79" t="str">
        <f t="shared" si="10"/>
      </c>
      <c r="AB47" s="80" t="str">
        <f t="shared" si="11"/>
      </c>
      <c r="AC47" s="81" t="str">
        <f t="array" ref="AC47">IF(AB47="","",IFERROR(INDEX(HELPER!$D$8:$D$48,IF(AB47&gt;=HELPER!$B$8,1,MATCH(AB47,HELPER!$B$8:$B$48,-1)+1)),""))</f>
      </c>
      <c r="AD47" s="82" t="str">
        <f>IF(AC47="","",IFERROR(VLOOKUP(AC47,HELPER!$F$8:$G$48,2,FALSE),""))</f>
      </c>
      <c r="AE47" s="3"/>
      <c r="AF47" s="4"/>
    </row>
    <row r="48" spans="1:32" ht="15" customHeight="1" x14ac:dyDescent="0.15">
      <c r="A48" s="3"/>
      <c r="B48" s="98">
        <v>31</v>
      </c>
      <c r="C48" s="184" t="str">
        <f>IF('INPUT DATA'!K41="","",'INPUT DATA'!K41)</f>
      </c>
      <c r="D48" s="185"/>
      <c r="E48" s="186"/>
      <c r="F48" s="70"/>
      <c r="G48" s="71"/>
      <c r="H48" s="71"/>
      <c r="I48" s="71"/>
      <c r="J48" s="72"/>
      <c r="K48" s="73" t="str">
        <f t="shared" si="0"/>
      </c>
      <c r="L48" s="74" t="str">
        <f t="shared" si="1"/>
      </c>
      <c r="M48" s="75" t="str">
        <f t="shared" si="2"/>
      </c>
      <c r="N48" s="70"/>
      <c r="O48" s="71"/>
      <c r="P48" s="72"/>
      <c r="Q48" s="73" t="str">
        <f t="shared" si="3"/>
      </c>
      <c r="R48" s="74" t="str">
        <f t="shared" si="4"/>
      </c>
      <c r="S48" s="75" t="str">
        <f t="shared" si="5"/>
      </c>
      <c r="T48" s="70"/>
      <c r="U48" s="71"/>
      <c r="V48" s="72"/>
      <c r="W48" s="77" t="str">
        <f t="shared" si="6"/>
      </c>
      <c r="X48" s="74" t="str">
        <f t="shared" si="7"/>
      </c>
      <c r="Y48" s="75" t="str">
        <f t="shared" si="8"/>
      </c>
      <c r="Z48" s="78" t="str">
        <f t="shared" si="9"/>
      </c>
      <c r="AA48" s="79" t="str">
        <f t="shared" si="10"/>
      </c>
      <c r="AB48" s="80" t="str">
        <f t="shared" si="11"/>
      </c>
      <c r="AC48" s="81" t="str">
        <f t="array" ref="AC48">IF(AB48="","",IFERROR(INDEX(HELPER!$D$8:$D$48,IF(AB48&gt;=HELPER!$B$8,1,MATCH(AB48,HELPER!$B$8:$B$48,-1)+1)),""))</f>
      </c>
      <c r="AD48" s="82" t="str">
        <f>IF(AC48="","",IFERROR(VLOOKUP(AC48,HELPER!$F$8:$G$48,2,FALSE),""))</f>
      </c>
      <c r="AE48" s="3"/>
      <c r="AF48" s="4"/>
    </row>
    <row r="49" spans="1:32" ht="15" customHeight="1" x14ac:dyDescent="0.15">
      <c r="A49" s="3"/>
      <c r="B49" s="98">
        <v>32</v>
      </c>
      <c r="C49" s="184" t="str">
        <f>IF('INPUT DATA'!K42="","",'INPUT DATA'!K42)</f>
      </c>
      <c r="D49" s="185"/>
      <c r="E49" s="186"/>
      <c r="F49" s="70"/>
      <c r="G49" s="71"/>
      <c r="H49" s="71"/>
      <c r="I49" s="71"/>
      <c r="J49" s="72"/>
      <c r="K49" s="73" t="str">
        <f t="shared" si="0"/>
      </c>
      <c r="L49" s="74" t="str">
        <f t="shared" si="1"/>
      </c>
      <c r="M49" s="75" t="str">
        <f t="shared" si="2"/>
      </c>
      <c r="N49" s="70"/>
      <c r="O49" s="71"/>
      <c r="P49" s="72"/>
      <c r="Q49" s="73" t="str">
        <f t="shared" si="3"/>
      </c>
      <c r="R49" s="74" t="str">
        <f t="shared" si="4"/>
      </c>
      <c r="S49" s="75" t="str">
        <f t="shared" si="5"/>
      </c>
      <c r="T49" s="70"/>
      <c r="U49" s="71"/>
      <c r="V49" s="72"/>
      <c r="W49" s="77" t="str">
        <f t="shared" si="6"/>
      </c>
      <c r="X49" s="74" t="str">
        <f t="shared" si="7"/>
      </c>
      <c r="Y49" s="75" t="str">
        <f t="shared" si="8"/>
      </c>
      <c r="Z49" s="78" t="str">
        <f t="shared" si="9"/>
      </c>
      <c r="AA49" s="79" t="str">
        <f t="shared" si="10"/>
      </c>
      <c r="AB49" s="80" t="str">
        <f t="shared" si="11"/>
      </c>
      <c r="AC49" s="81" t="str">
        <f t="array" ref="AC49">IF(AB49="","",IFERROR(INDEX(HELPER!$D$8:$D$48,IF(AB49&gt;=HELPER!$B$8,1,MATCH(AB49,HELPER!$B$8:$B$48,-1)+1)),""))</f>
      </c>
      <c r="AD49" s="82" t="str">
        <f>IF(AC49="","",IFERROR(VLOOKUP(AC49,HELPER!$F$8:$G$48,2,FALSE),""))</f>
      </c>
      <c r="AE49" s="3"/>
      <c r="AF49" s="4"/>
    </row>
    <row r="50" spans="1:32" ht="15" customHeight="1" x14ac:dyDescent="0.15">
      <c r="A50" s="3"/>
      <c r="B50" s="98">
        <v>33</v>
      </c>
      <c r="C50" s="184" t="str">
        <f>IF('INPUT DATA'!K43="","",'INPUT DATA'!K43)</f>
      </c>
      <c r="D50" s="185"/>
      <c r="E50" s="186"/>
      <c r="F50" s="70"/>
      <c r="G50" s="71"/>
      <c r="H50" s="71"/>
      <c r="I50" s="71"/>
      <c r="J50" s="72"/>
      <c r="K50" s="73" t="str">
        <f t="shared" si="0"/>
      </c>
      <c r="L50" s="74" t="str">
        <f t="shared" si="1"/>
      </c>
      <c r="M50" s="75" t="str">
        <f t="shared" si="2"/>
      </c>
      <c r="N50" s="70"/>
      <c r="O50" s="71"/>
      <c r="P50" s="72"/>
      <c r="Q50" s="73" t="str">
        <f t="shared" si="3"/>
      </c>
      <c r="R50" s="74" t="str">
        <f t="shared" si="4"/>
      </c>
      <c r="S50" s="75" t="str">
        <f t="shared" si="5"/>
      </c>
      <c r="T50" s="70"/>
      <c r="U50" s="71"/>
      <c r="V50" s="72"/>
      <c r="W50" s="77" t="str">
        <f t="shared" si="6"/>
      </c>
      <c r="X50" s="74" t="str">
        <f t="shared" si="7"/>
      </c>
      <c r="Y50" s="75" t="str">
        <f t="shared" si="8"/>
      </c>
      <c r="Z50" s="78" t="str">
        <f t="shared" si="9"/>
      </c>
      <c r="AA50" s="79" t="str">
        <f t="shared" si="10"/>
      </c>
      <c r="AB50" s="80" t="str">
        <f t="shared" si="11"/>
      </c>
      <c r="AC50" s="81" t="str">
        <f t="array" ref="AC50">IF(AB50="","",IFERROR(INDEX(HELPER!$D$8:$D$48,IF(AB50&gt;=HELPER!$B$8,1,MATCH(AB50,HELPER!$B$8:$B$48,-1)+1)),""))</f>
      </c>
      <c r="AD50" s="82" t="str">
        <f>IF(AC50="","",IFERROR(VLOOKUP(AC50,HELPER!$F$8:$G$48,2,FALSE),""))</f>
      </c>
      <c r="AE50" s="3"/>
      <c r="AF50" s="4"/>
    </row>
    <row r="51" spans="1:32" ht="15" customHeight="1" x14ac:dyDescent="0.15">
      <c r="A51" s="3"/>
      <c r="B51" s="98">
        <v>34</v>
      </c>
      <c r="C51" s="184" t="str">
        <f>IF('INPUT DATA'!K44="","",'INPUT DATA'!K44)</f>
      </c>
      <c r="D51" s="185"/>
      <c r="E51" s="186"/>
      <c r="F51" s="70"/>
      <c r="G51" s="71"/>
      <c r="H51" s="71"/>
      <c r="I51" s="71"/>
      <c r="J51" s="72"/>
      <c r="K51" s="73" t="str">
        <f t="shared" si="0"/>
      </c>
      <c r="L51" s="74" t="str">
        <f t="shared" si="1"/>
      </c>
      <c r="M51" s="75" t="str">
        <f t="shared" si="2"/>
      </c>
      <c r="N51" s="70"/>
      <c r="O51" s="71"/>
      <c r="P51" s="72"/>
      <c r="Q51" s="73" t="str">
        <f t="shared" si="3"/>
      </c>
      <c r="R51" s="74" t="str">
        <f t="shared" si="4"/>
      </c>
      <c r="S51" s="75" t="str">
        <f t="shared" si="5"/>
      </c>
      <c r="T51" s="70"/>
      <c r="U51" s="71"/>
      <c r="V51" s="72"/>
      <c r="W51" s="77" t="str">
        <f t="shared" si="6"/>
      </c>
      <c r="X51" s="74" t="str">
        <f t="shared" si="7"/>
      </c>
      <c r="Y51" s="75" t="str">
        <f t="shared" si="8"/>
      </c>
      <c r="Z51" s="78" t="str">
        <f t="shared" si="9"/>
      </c>
      <c r="AA51" s="79" t="str">
        <f t="shared" si="10"/>
      </c>
      <c r="AB51" s="80" t="str">
        <f t="shared" si="11"/>
      </c>
      <c r="AC51" s="81" t="str">
        <f t="array" ref="AC51">IF(AB51="","",IFERROR(INDEX(HELPER!$D$8:$D$48,IF(AB51&gt;=HELPER!$B$8,1,MATCH(AB51,HELPER!$B$8:$B$48,-1)+1)),""))</f>
      </c>
      <c r="AD51" s="82" t="str">
        <f>IF(AC51="","",IFERROR(VLOOKUP(AC51,HELPER!$F$8:$G$48,2,FALSE),""))</f>
      </c>
      <c r="AE51" s="3"/>
      <c r="AF51" s="4"/>
    </row>
    <row r="52" spans="1:32" ht="15" customHeight="1" x14ac:dyDescent="0.15">
      <c r="A52" s="3"/>
      <c r="B52" s="98">
        <v>35</v>
      </c>
      <c r="C52" s="184" t="str">
        <f>IF('INPUT DATA'!K45="","",'INPUT DATA'!K45)</f>
      </c>
      <c r="D52" s="185"/>
      <c r="E52" s="186"/>
      <c r="F52" s="70"/>
      <c r="G52" s="71"/>
      <c r="H52" s="71"/>
      <c r="I52" s="71"/>
      <c r="J52" s="72"/>
      <c r="K52" s="73" t="str">
        <f t="shared" si="0"/>
      </c>
      <c r="L52" s="74" t="str">
        <f t="shared" si="1"/>
      </c>
      <c r="M52" s="75" t="str">
        <f t="shared" si="2"/>
      </c>
      <c r="N52" s="70"/>
      <c r="O52" s="71"/>
      <c r="P52" s="72"/>
      <c r="Q52" s="73" t="str">
        <f t="shared" si="3"/>
      </c>
      <c r="R52" s="74" t="str">
        <f t="shared" si="4"/>
      </c>
      <c r="S52" s="75" t="str">
        <f t="shared" si="5"/>
      </c>
      <c r="T52" s="70"/>
      <c r="U52" s="71"/>
      <c r="V52" s="72"/>
      <c r="W52" s="77" t="str">
        <f t="shared" si="6"/>
      </c>
      <c r="X52" s="74" t="str">
        <f t="shared" si="7"/>
      </c>
      <c r="Y52" s="75" t="str">
        <f t="shared" si="8"/>
      </c>
      <c r="Z52" s="78" t="str">
        <f t="shared" si="9"/>
      </c>
      <c r="AA52" s="79" t="str">
        <f t="shared" si="10"/>
      </c>
      <c r="AB52" s="80" t="str">
        <f t="shared" si="11"/>
      </c>
      <c r="AC52" s="81" t="str">
        <f t="array" ref="AC52">IF(AB52="","",IFERROR(INDEX(HELPER!$D$8:$D$48,IF(AB52&gt;=HELPER!$B$8,1,MATCH(AB52,HELPER!$B$8:$B$48,-1)+1)),""))</f>
      </c>
      <c r="AD52" s="82" t="str">
        <f>IF(AC52="","",IFERROR(VLOOKUP(AC52,HELPER!$F$8:$G$48,2,FALSE),""))</f>
      </c>
      <c r="AE52" s="3"/>
      <c r="AF52" s="4"/>
    </row>
    <row r="53" spans="1:32" ht="15" customHeight="1" x14ac:dyDescent="0.15">
      <c r="A53" s="3"/>
      <c r="B53" s="98">
        <v>36</v>
      </c>
      <c r="C53" s="184" t="str">
        <f>IF('INPUT DATA'!K46="","",'INPUT DATA'!K46)</f>
      </c>
      <c r="D53" s="185"/>
      <c r="E53" s="186"/>
      <c r="F53" s="70"/>
      <c r="G53" s="71"/>
      <c r="H53" s="71"/>
      <c r="I53" s="71"/>
      <c r="J53" s="72"/>
      <c r="K53" s="73" t="str">
        <f t="shared" si="0"/>
      </c>
      <c r="L53" s="74" t="str">
        <f t="shared" si="1"/>
      </c>
      <c r="M53" s="75" t="str">
        <f t="shared" si="2"/>
      </c>
      <c r="N53" s="70"/>
      <c r="O53" s="71"/>
      <c r="P53" s="72"/>
      <c r="Q53" s="73" t="str">
        <f t="shared" si="3"/>
      </c>
      <c r="R53" s="74" t="str">
        <f t="shared" si="4"/>
      </c>
      <c r="S53" s="75" t="str">
        <f t="shared" si="5"/>
      </c>
      <c r="T53" s="70"/>
      <c r="U53" s="71"/>
      <c r="V53" s="72"/>
      <c r="W53" s="77" t="str">
        <f t="shared" si="6"/>
      </c>
      <c r="X53" s="74" t="str">
        <f t="shared" si="7"/>
      </c>
      <c r="Y53" s="75" t="str">
        <f t="shared" si="8"/>
      </c>
      <c r="Z53" s="78" t="str">
        <f t="shared" si="9"/>
      </c>
      <c r="AA53" s="79" t="str">
        <f t="shared" si="10"/>
      </c>
      <c r="AB53" s="80" t="str">
        <f t="shared" si="11"/>
      </c>
      <c r="AC53" s="81" t="str">
        <f t="array" ref="AC53">IF(AB53="","",IFERROR(INDEX(HELPER!$D$8:$D$48,IF(AB53&gt;=HELPER!$B$8,1,MATCH(AB53,HELPER!$B$8:$B$48,-1)+1)),""))</f>
      </c>
      <c r="AD53" s="82" t="str">
        <f>IF(AC53="","",IFERROR(VLOOKUP(AC53,HELPER!$F$8:$G$48,2,FALSE),""))</f>
      </c>
      <c r="AE53" s="3"/>
      <c r="AF53" s="4"/>
    </row>
    <row r="54" spans="1:32" ht="15" customHeight="1" x14ac:dyDescent="0.15">
      <c r="A54" s="3"/>
      <c r="B54" s="98">
        <v>37</v>
      </c>
      <c r="C54" s="184" t="str">
        <f>IF('INPUT DATA'!K47="","",'INPUT DATA'!K47)</f>
      </c>
      <c r="D54" s="185"/>
      <c r="E54" s="186"/>
      <c r="F54" s="70"/>
      <c r="G54" s="71"/>
      <c r="H54" s="71"/>
      <c r="I54" s="71"/>
      <c r="J54" s="72"/>
      <c r="K54" s="73" t="str">
        <f t="shared" si="0"/>
      </c>
      <c r="L54" s="74" t="str">
        <f t="shared" si="1"/>
      </c>
      <c r="M54" s="75" t="str">
        <f t="shared" si="2"/>
      </c>
      <c r="N54" s="70"/>
      <c r="O54" s="71"/>
      <c r="P54" s="72"/>
      <c r="Q54" s="73" t="str">
        <f t="shared" si="3"/>
      </c>
      <c r="R54" s="74" t="str">
        <f t="shared" si="4"/>
      </c>
      <c r="S54" s="75" t="str">
        <f t="shared" si="5"/>
      </c>
      <c r="T54" s="70"/>
      <c r="U54" s="71"/>
      <c r="V54" s="72"/>
      <c r="W54" s="77" t="str">
        <f t="shared" si="6"/>
      </c>
      <c r="X54" s="74" t="str">
        <f t="shared" si="7"/>
      </c>
      <c r="Y54" s="75" t="str">
        <f t="shared" si="8"/>
      </c>
      <c r="Z54" s="78" t="str">
        <f t="shared" si="9"/>
      </c>
      <c r="AA54" s="79" t="str">
        <f t="shared" si="10"/>
      </c>
      <c r="AB54" s="80" t="str">
        <f t="shared" si="11"/>
      </c>
      <c r="AC54" s="81" t="str">
        <f t="array" ref="AC54">IF(AB54="","",IFERROR(INDEX(HELPER!$D$8:$D$48,IF(AB54&gt;=HELPER!$B$8,1,MATCH(AB54,HELPER!$B$8:$B$48,-1)+1)),""))</f>
      </c>
      <c r="AD54" s="82" t="str">
        <f>IF(AC54="","",IFERROR(VLOOKUP(AC54,HELPER!$F$8:$G$48,2,FALSE),""))</f>
      </c>
      <c r="AE54" s="3"/>
      <c r="AF54" s="4"/>
    </row>
    <row r="55" spans="1:32" ht="15" customHeight="1" x14ac:dyDescent="0.15">
      <c r="A55" s="3"/>
      <c r="B55" s="98">
        <v>38</v>
      </c>
      <c r="C55" s="184" t="str">
        <f>IF('INPUT DATA'!K48="","",'INPUT DATA'!K48)</f>
      </c>
      <c r="D55" s="185"/>
      <c r="E55" s="186"/>
      <c r="F55" s="70"/>
      <c r="G55" s="71"/>
      <c r="H55" s="71"/>
      <c r="I55" s="71"/>
      <c r="J55" s="72"/>
      <c r="K55" s="73" t="str">
        <f t="shared" si="0"/>
      </c>
      <c r="L55" s="74" t="str">
        <f t="shared" si="1"/>
      </c>
      <c r="M55" s="75" t="str">
        <f t="shared" si="2"/>
      </c>
      <c r="N55" s="70"/>
      <c r="O55" s="71"/>
      <c r="P55" s="72"/>
      <c r="Q55" s="73" t="str">
        <f t="shared" si="3"/>
      </c>
      <c r="R55" s="74" t="str">
        <f t="shared" si="4"/>
      </c>
      <c r="S55" s="75" t="str">
        <f t="shared" si="5"/>
      </c>
      <c r="T55" s="70"/>
      <c r="U55" s="71"/>
      <c r="V55" s="72"/>
      <c r="W55" s="77" t="str">
        <f t="shared" si="6"/>
      </c>
      <c r="X55" s="74" t="str">
        <f t="shared" si="7"/>
      </c>
      <c r="Y55" s="75" t="str">
        <f t="shared" si="8"/>
      </c>
      <c r="Z55" s="78" t="str">
        <f t="shared" si="9"/>
      </c>
      <c r="AA55" s="79" t="str">
        <f t="shared" si="10"/>
      </c>
      <c r="AB55" s="80" t="str">
        <f t="shared" si="11"/>
      </c>
      <c r="AC55" s="81" t="str">
        <f t="array" ref="AC55">IF(AB55="","",IFERROR(INDEX(HELPER!$D$8:$D$48,IF(AB55&gt;=HELPER!$B$8,1,MATCH(AB55,HELPER!$B$8:$B$48,-1)+1)),""))</f>
      </c>
      <c r="AD55" s="82" t="str">
        <f>IF(AC55="","",IFERROR(VLOOKUP(AC55,HELPER!$F$8:$G$48,2,FALSE),""))</f>
      </c>
      <c r="AE55" s="3"/>
      <c r="AF55" s="4"/>
    </row>
    <row r="56" spans="1:32" ht="15" customHeight="1" x14ac:dyDescent="0.15">
      <c r="A56" s="3"/>
      <c r="B56" s="98">
        <v>39</v>
      </c>
      <c r="C56" s="184" t="str">
        <f>IF('INPUT DATA'!K49="","",'INPUT DATA'!K49)</f>
      </c>
      <c r="D56" s="185"/>
      <c r="E56" s="186"/>
      <c r="F56" s="70"/>
      <c r="G56" s="71"/>
      <c r="H56" s="71"/>
      <c r="I56" s="71"/>
      <c r="J56" s="72"/>
      <c r="K56" s="73" t="str">
        <f t="shared" si="0"/>
      </c>
      <c r="L56" s="74" t="str">
        <f t="shared" si="1"/>
      </c>
      <c r="M56" s="75" t="str">
        <f t="shared" si="2"/>
      </c>
      <c r="N56" s="70"/>
      <c r="O56" s="71"/>
      <c r="P56" s="72"/>
      <c r="Q56" s="73" t="str">
        <f t="shared" si="3"/>
      </c>
      <c r="R56" s="74" t="str">
        <f t="shared" si="4"/>
      </c>
      <c r="S56" s="75" t="str">
        <f t="shared" si="5"/>
      </c>
      <c r="T56" s="70"/>
      <c r="U56" s="71"/>
      <c r="V56" s="72"/>
      <c r="W56" s="77" t="str">
        <f t="shared" si="6"/>
      </c>
      <c r="X56" s="74" t="str">
        <f t="shared" si="7"/>
      </c>
      <c r="Y56" s="75" t="str">
        <f t="shared" si="8"/>
      </c>
      <c r="Z56" s="78" t="str">
        <f t="shared" si="9"/>
      </c>
      <c r="AA56" s="79" t="str">
        <f t="shared" si="10"/>
      </c>
      <c r="AB56" s="80" t="str">
        <f t="shared" si="11"/>
      </c>
      <c r="AC56" s="81" t="str">
        <f t="array" ref="AC56">IF(AB56="","",IFERROR(INDEX(HELPER!$D$8:$D$48,IF(AB56&gt;=HELPER!$B$8,1,MATCH(AB56,HELPER!$B$8:$B$48,-1)+1)),""))</f>
      </c>
      <c r="AD56" s="82" t="str">
        <f>IF(AC56="","",IFERROR(VLOOKUP(AC56,HELPER!$F$8:$G$48,2,FALSE),""))</f>
      </c>
      <c r="AE56" s="3"/>
      <c r="AF56" s="4"/>
    </row>
    <row r="57" spans="1:32" ht="15" customHeight="1" x14ac:dyDescent="0.15">
      <c r="A57" s="3"/>
      <c r="B57" s="98">
        <v>40</v>
      </c>
      <c r="C57" s="184" t="str">
        <f>IF('INPUT DATA'!K50="","",'INPUT DATA'!K50)</f>
      </c>
      <c r="D57" s="185"/>
      <c r="E57" s="186"/>
      <c r="F57" s="70"/>
      <c r="G57" s="71"/>
      <c r="H57" s="71"/>
      <c r="I57" s="71"/>
      <c r="J57" s="72"/>
      <c r="K57" s="73" t="str">
        <f t="shared" si="0"/>
      </c>
      <c r="L57" s="74" t="str">
        <f t="shared" si="1"/>
      </c>
      <c r="M57" s="75" t="str">
        <f t="shared" si="2"/>
      </c>
      <c r="N57" s="70"/>
      <c r="O57" s="71"/>
      <c r="P57" s="72"/>
      <c r="Q57" s="73" t="str">
        <f t="shared" si="3"/>
      </c>
      <c r="R57" s="74" t="str">
        <f t="shared" si="4"/>
      </c>
      <c r="S57" s="75" t="str">
        <f t="shared" si="5"/>
      </c>
      <c r="T57" s="70"/>
      <c r="U57" s="71"/>
      <c r="V57" s="72"/>
      <c r="W57" s="77" t="str">
        <f t="shared" si="6"/>
      </c>
      <c r="X57" s="74" t="str">
        <f t="shared" si="7"/>
      </c>
      <c r="Y57" s="75" t="str">
        <f t="shared" si="8"/>
      </c>
      <c r="Z57" s="78" t="str">
        <f t="shared" si="9"/>
      </c>
      <c r="AA57" s="79" t="str">
        <f t="shared" si="10"/>
      </c>
      <c r="AB57" s="80" t="str">
        <f t="shared" si="11"/>
      </c>
      <c r="AC57" s="81" t="str">
        <f t="array" ref="AC57">IF(AB57="","",IFERROR(INDEX(HELPER!$D$8:$D$48,IF(AB57&gt;=HELPER!$B$8,1,MATCH(AB57,HELPER!$B$8:$B$48,-1)+1)),""))</f>
      </c>
      <c r="AD57" s="82" t="str">
        <f>IF(AC57="","",IFERROR(VLOOKUP(AC57,HELPER!$F$8:$G$48,2,FALSE),""))</f>
      </c>
      <c r="AE57" s="3"/>
      <c r="AF57" s="4"/>
    </row>
    <row r="58" spans="1:32" ht="15" customHeight="1" x14ac:dyDescent="0.15">
      <c r="A58" s="3"/>
      <c r="B58" s="98">
        <v>41</v>
      </c>
      <c r="C58" s="184" t="str">
        <f>IF('INPUT DATA'!K51="","",'INPUT DATA'!K51)</f>
      </c>
      <c r="D58" s="185"/>
      <c r="E58" s="186"/>
      <c r="F58" s="70"/>
      <c r="G58" s="71"/>
      <c r="H58" s="71"/>
      <c r="I58" s="71"/>
      <c r="J58" s="72"/>
      <c r="K58" s="73" t="str">
        <f t="shared" si="0"/>
      </c>
      <c r="L58" s="74" t="str">
        <f t="shared" si="1"/>
      </c>
      <c r="M58" s="75" t="str">
        <f t="shared" si="2"/>
      </c>
      <c r="N58" s="70"/>
      <c r="O58" s="71"/>
      <c r="P58" s="72"/>
      <c r="Q58" s="73" t="str">
        <f t="shared" si="3"/>
      </c>
      <c r="R58" s="74" t="str">
        <f t="shared" si="4"/>
      </c>
      <c r="S58" s="75" t="str">
        <f t="shared" si="5"/>
      </c>
      <c r="T58" s="70"/>
      <c r="U58" s="71"/>
      <c r="V58" s="72"/>
      <c r="W58" s="77" t="str">
        <f t="shared" si="6"/>
      </c>
      <c r="X58" s="74" t="str">
        <f t="shared" si="7"/>
      </c>
      <c r="Y58" s="75" t="str">
        <f t="shared" si="8"/>
      </c>
      <c r="Z58" s="78" t="str">
        <f t="shared" si="9"/>
      </c>
      <c r="AA58" s="79" t="str">
        <f t="shared" si="10"/>
      </c>
      <c r="AB58" s="80" t="str">
        <f t="shared" si="11"/>
      </c>
      <c r="AC58" s="81" t="str">
        <f t="array" ref="AC58">IF(AB58="","",IFERROR(INDEX(HELPER!$D$8:$D$48,IF(AB58&gt;=HELPER!$B$8,1,MATCH(AB58,HELPER!$B$8:$B$48,-1)+1)),""))</f>
      </c>
      <c r="AD58" s="82" t="str">
        <f>IF(AC58="","",IFERROR(VLOOKUP(AC58,HELPER!$F$8:$G$48,2,FALSE),""))</f>
      </c>
      <c r="AE58" s="3"/>
      <c r="AF58" s="4"/>
    </row>
    <row r="59" spans="1:32" ht="15" customHeight="1" x14ac:dyDescent="0.15">
      <c r="A59" s="3"/>
      <c r="B59" s="98">
        <v>42</v>
      </c>
      <c r="C59" s="184" t="str">
        <f>IF('INPUT DATA'!K52="","",'INPUT DATA'!K52)</f>
      </c>
      <c r="D59" s="185"/>
      <c r="E59" s="186"/>
      <c r="F59" s="70"/>
      <c r="G59" s="71"/>
      <c r="H59" s="71"/>
      <c r="I59" s="71"/>
      <c r="J59" s="72"/>
      <c r="K59" s="73" t="str">
        <f t="shared" si="0"/>
      </c>
      <c r="L59" s="74" t="str">
        <f t="shared" si="1"/>
      </c>
      <c r="M59" s="75" t="str">
        <f t="shared" si="2"/>
      </c>
      <c r="N59" s="70"/>
      <c r="O59" s="71"/>
      <c r="P59" s="72"/>
      <c r="Q59" s="73" t="str">
        <f t="shared" si="3"/>
      </c>
      <c r="R59" s="74" t="str">
        <f t="shared" si="4"/>
      </c>
      <c r="S59" s="75" t="str">
        <f t="shared" si="5"/>
      </c>
      <c r="T59" s="70"/>
      <c r="U59" s="71"/>
      <c r="V59" s="72"/>
      <c r="W59" s="77" t="str">
        <f t="shared" si="6"/>
      </c>
      <c r="X59" s="74" t="str">
        <f t="shared" si="7"/>
      </c>
      <c r="Y59" s="75" t="str">
        <f t="shared" si="8"/>
      </c>
      <c r="Z59" s="78" t="str">
        <f t="shared" si="9"/>
      </c>
      <c r="AA59" s="79" t="str">
        <f t="shared" si="10"/>
      </c>
      <c r="AB59" s="80" t="str">
        <f t="shared" si="11"/>
      </c>
      <c r="AC59" s="81" t="str">
        <f t="array" ref="AC59">IF(AB59="","",IFERROR(INDEX(HELPER!$D$8:$D$48,IF(AB59&gt;=HELPER!$B$8,1,MATCH(AB59,HELPER!$B$8:$B$48,-1)+1)),""))</f>
      </c>
      <c r="AD59" s="82" t="str">
        <f>IF(AC59="","",IFERROR(VLOOKUP(AC59,HELPER!$F$8:$G$48,2,FALSE),""))</f>
      </c>
      <c r="AE59" s="3"/>
      <c r="AF59" s="4"/>
    </row>
    <row r="60" spans="1:32" ht="15" customHeight="1" x14ac:dyDescent="0.15">
      <c r="A60" s="3"/>
      <c r="B60" s="98">
        <v>43</v>
      </c>
      <c r="C60" s="184" t="str">
        <f>IF('INPUT DATA'!K53="","",'INPUT DATA'!K53)</f>
      </c>
      <c r="D60" s="185"/>
      <c r="E60" s="186"/>
      <c r="F60" s="70"/>
      <c r="G60" s="71"/>
      <c r="H60" s="71"/>
      <c r="I60" s="71"/>
      <c r="J60" s="72"/>
      <c r="K60" s="73" t="str">
        <f t="shared" si="0"/>
      </c>
      <c r="L60" s="74" t="str">
        <f t="shared" si="1"/>
      </c>
      <c r="M60" s="75" t="str">
        <f t="shared" si="2"/>
      </c>
      <c r="N60" s="70"/>
      <c r="O60" s="71"/>
      <c r="P60" s="72"/>
      <c r="Q60" s="73" t="str">
        <f t="shared" si="3"/>
      </c>
      <c r="R60" s="74" t="str">
        <f t="shared" si="4"/>
      </c>
      <c r="S60" s="75" t="str">
        <f t="shared" si="5"/>
      </c>
      <c r="T60" s="70"/>
      <c r="U60" s="71"/>
      <c r="V60" s="72"/>
      <c r="W60" s="77" t="str">
        <f t="shared" si="6"/>
      </c>
      <c r="X60" s="74" t="str">
        <f t="shared" si="7"/>
      </c>
      <c r="Y60" s="75" t="str">
        <f t="shared" si="8"/>
      </c>
      <c r="Z60" s="78" t="str">
        <f t="shared" si="9"/>
      </c>
      <c r="AA60" s="79" t="str">
        <f t="shared" si="10"/>
      </c>
      <c r="AB60" s="80" t="str">
        <f t="shared" si="11"/>
      </c>
      <c r="AC60" s="81" t="str">
        <f t="array" ref="AC60">IF(AB60="","",IFERROR(INDEX(HELPER!$D$8:$D$48,IF(AB60&gt;=HELPER!$B$8,1,MATCH(AB60,HELPER!$B$8:$B$48,-1)+1)),""))</f>
      </c>
      <c r="AD60" s="82" t="str">
        <f>IF(AC60="","",IFERROR(VLOOKUP(AC60,HELPER!$F$8:$G$48,2,FALSE),""))</f>
      </c>
      <c r="AE60" s="3"/>
      <c r="AF60" s="4"/>
    </row>
    <row r="61" spans="1:32" ht="15" customHeight="1" x14ac:dyDescent="0.15">
      <c r="A61" s="3"/>
      <c r="B61" s="98">
        <v>44</v>
      </c>
      <c r="C61" s="184" t="str">
        <f>IF('INPUT DATA'!K54="","",'INPUT DATA'!K54)</f>
      </c>
      <c r="D61" s="185"/>
      <c r="E61" s="186"/>
      <c r="F61" s="70"/>
      <c r="G61" s="71"/>
      <c r="H61" s="71"/>
      <c r="I61" s="71"/>
      <c r="J61" s="72"/>
      <c r="K61" s="73" t="str">
        <f t="shared" si="0"/>
      </c>
      <c r="L61" s="74" t="str">
        <f t="shared" si="1"/>
      </c>
      <c r="M61" s="75" t="str">
        <f t="shared" si="2"/>
      </c>
      <c r="N61" s="70"/>
      <c r="O61" s="71"/>
      <c r="P61" s="72"/>
      <c r="Q61" s="73" t="str">
        <f t="shared" si="3"/>
      </c>
      <c r="R61" s="74" t="str">
        <f t="shared" si="4"/>
      </c>
      <c r="S61" s="75" t="str">
        <f t="shared" si="5"/>
      </c>
      <c r="T61" s="70"/>
      <c r="U61" s="71"/>
      <c r="V61" s="72"/>
      <c r="W61" s="77" t="str">
        <f t="shared" si="6"/>
      </c>
      <c r="X61" s="74" t="str">
        <f t="shared" si="7"/>
      </c>
      <c r="Y61" s="75" t="str">
        <f t="shared" si="8"/>
      </c>
      <c r="Z61" s="78" t="str">
        <f t="shared" si="9"/>
      </c>
      <c r="AA61" s="79" t="str">
        <f t="shared" si="10"/>
      </c>
      <c r="AB61" s="80" t="str">
        <f t="shared" si="11"/>
      </c>
      <c r="AC61" s="81" t="str">
        <f t="array" ref="AC61">IF(AB61="","",IFERROR(INDEX(HELPER!$D$8:$D$48,IF(AB61&gt;=HELPER!$B$8,1,MATCH(AB61,HELPER!$B$8:$B$48,-1)+1)),""))</f>
      </c>
      <c r="AD61" s="82" t="str">
        <f>IF(AC61="","",IFERROR(VLOOKUP(AC61,HELPER!$F$8:$G$48,2,FALSE),""))</f>
      </c>
      <c r="AE61" s="3"/>
      <c r="AF61" s="4"/>
    </row>
    <row r="62" spans="1:32" ht="15" customHeight="1" x14ac:dyDescent="0.15">
      <c r="A62" s="3"/>
      <c r="B62" s="98">
        <v>45</v>
      </c>
      <c r="C62" s="184" t="str">
        <f>IF('INPUT DATA'!K55="","",'INPUT DATA'!K55)</f>
      </c>
      <c r="D62" s="185"/>
      <c r="E62" s="186"/>
      <c r="F62" s="70"/>
      <c r="G62" s="71"/>
      <c r="H62" s="71"/>
      <c r="I62" s="71"/>
      <c r="J62" s="72"/>
      <c r="K62" s="73" t="str">
        <f t="shared" si="0"/>
      </c>
      <c r="L62" s="74" t="str">
        <f t="shared" si="1"/>
      </c>
      <c r="M62" s="75" t="str">
        <f t="shared" si="2"/>
      </c>
      <c r="N62" s="70"/>
      <c r="O62" s="71"/>
      <c r="P62" s="72"/>
      <c r="Q62" s="73" t="str">
        <f t="shared" si="3"/>
      </c>
      <c r="R62" s="74" t="str">
        <f t="shared" si="4"/>
      </c>
      <c r="S62" s="75" t="str">
        <f t="shared" si="5"/>
      </c>
      <c r="T62" s="70"/>
      <c r="U62" s="71"/>
      <c r="V62" s="72"/>
      <c r="W62" s="77" t="str">
        <f t="shared" si="6"/>
      </c>
      <c r="X62" s="74" t="str">
        <f t="shared" si="7"/>
      </c>
      <c r="Y62" s="75" t="str">
        <f t="shared" si="8"/>
      </c>
      <c r="Z62" s="78" t="str">
        <f t="shared" si="9"/>
      </c>
      <c r="AA62" s="79" t="str">
        <f t="shared" si="10"/>
      </c>
      <c r="AB62" s="80" t="str">
        <f t="shared" si="11"/>
      </c>
      <c r="AC62" s="81" t="str">
        <f t="array" ref="AC62">IF(AB62="","",IFERROR(INDEX(HELPER!$D$8:$D$48,IF(AB62&gt;=HELPER!$B$8,1,MATCH(AB62,HELPER!$B$8:$B$48,-1)+1)),""))</f>
      </c>
      <c r="AD62" s="82" t="str">
        <f>IF(AC62="","",IFERROR(VLOOKUP(AC62,HELPER!$F$8:$G$48,2,FALSE),""))</f>
      </c>
      <c r="AE62" s="3"/>
      <c r="AF62" s="4"/>
    </row>
    <row r="63" spans="1:32" ht="15" customHeight="1" x14ac:dyDescent="0.15">
      <c r="A63" s="3"/>
      <c r="B63" s="98">
        <v>46</v>
      </c>
      <c r="C63" s="184" t="str">
        <f>IF('INPUT DATA'!K56="","",'INPUT DATA'!K56)</f>
      </c>
      <c r="D63" s="185"/>
      <c r="E63" s="186"/>
      <c r="F63" s="70"/>
      <c r="G63" s="71"/>
      <c r="H63" s="71"/>
      <c r="I63" s="71"/>
      <c r="J63" s="72"/>
      <c r="K63" s="73" t="str">
        <f t="shared" si="0"/>
      </c>
      <c r="L63" s="74" t="str">
        <f t="shared" si="1"/>
      </c>
      <c r="M63" s="75" t="str">
        <f t="shared" si="2"/>
      </c>
      <c r="N63" s="70"/>
      <c r="O63" s="71"/>
      <c r="P63" s="72"/>
      <c r="Q63" s="73" t="str">
        <f t="shared" si="3"/>
      </c>
      <c r="R63" s="74" t="str">
        <f t="shared" si="4"/>
      </c>
      <c r="S63" s="75" t="str">
        <f t="shared" si="5"/>
      </c>
      <c r="T63" s="70"/>
      <c r="U63" s="71"/>
      <c r="V63" s="72"/>
      <c r="W63" s="77" t="str">
        <f t="shared" si="6"/>
      </c>
      <c r="X63" s="74" t="str">
        <f t="shared" si="7"/>
      </c>
      <c r="Y63" s="75" t="str">
        <f t="shared" si="8"/>
      </c>
      <c r="Z63" s="78" t="str">
        <f t="shared" si="9"/>
      </c>
      <c r="AA63" s="79" t="str">
        <f t="shared" si="10"/>
      </c>
      <c r="AB63" s="80" t="str">
        <f t="shared" si="11"/>
      </c>
      <c r="AC63" s="81" t="str">
        <f t="array" ref="AC63">IF(AB63="","",IFERROR(INDEX(HELPER!$D$8:$D$48,IF(AB63&gt;=HELPER!$B$8,1,MATCH(AB63,HELPER!$B$8:$B$48,-1)+1)),""))</f>
      </c>
      <c r="AD63" s="82" t="str">
        <f>IF(AC63="","",IFERROR(VLOOKUP(AC63,HELPER!$F$8:$G$48,2,FALSE),""))</f>
      </c>
      <c r="AE63" s="3"/>
      <c r="AF63" s="4"/>
    </row>
    <row r="64" spans="1:32" ht="15" customHeight="1" x14ac:dyDescent="0.15">
      <c r="A64" s="3"/>
      <c r="B64" s="98">
        <v>47</v>
      </c>
      <c r="C64" s="184" t="str">
        <f>IF('INPUT DATA'!K57="","",'INPUT DATA'!K57)</f>
      </c>
      <c r="D64" s="185"/>
      <c r="E64" s="186"/>
      <c r="F64" s="70"/>
      <c r="G64" s="71"/>
      <c r="H64" s="71"/>
      <c r="I64" s="71"/>
      <c r="J64" s="72"/>
      <c r="K64" s="73" t="str">
        <f t="shared" si="0"/>
      </c>
      <c r="L64" s="74" t="str">
        <f t="shared" si="1"/>
      </c>
      <c r="M64" s="75" t="str">
        <f t="shared" si="2"/>
      </c>
      <c r="N64" s="70"/>
      <c r="O64" s="71"/>
      <c r="P64" s="72"/>
      <c r="Q64" s="73" t="str">
        <f t="shared" si="3"/>
      </c>
      <c r="R64" s="74" t="str">
        <f t="shared" si="4"/>
      </c>
      <c r="S64" s="75" t="str">
        <f t="shared" si="5"/>
      </c>
      <c r="T64" s="70"/>
      <c r="U64" s="71"/>
      <c r="V64" s="72"/>
      <c r="W64" s="77" t="str">
        <f t="shared" si="6"/>
      </c>
      <c r="X64" s="74" t="str">
        <f t="shared" si="7"/>
      </c>
      <c r="Y64" s="75" t="str">
        <f t="shared" si="8"/>
      </c>
      <c r="Z64" s="78" t="str">
        <f t="shared" si="9"/>
      </c>
      <c r="AA64" s="79" t="str">
        <f t="shared" si="10"/>
      </c>
      <c r="AB64" s="80" t="str">
        <f t="shared" si="11"/>
      </c>
      <c r="AC64" s="81" t="str">
        <f t="array" ref="AC64">IF(AB64="","",IFERROR(INDEX(HELPER!$D$8:$D$48,IF(AB64&gt;=HELPER!$B$8,1,MATCH(AB64,HELPER!$B$8:$B$48,-1)+1)),""))</f>
      </c>
      <c r="AD64" s="82" t="str">
        <f>IF(AC64="","",IFERROR(VLOOKUP(AC64,HELPER!$F$8:$G$48,2,FALSE),""))</f>
      </c>
      <c r="AE64" s="3"/>
      <c r="AF64" s="4"/>
    </row>
    <row r="65" spans="1:32" ht="15" customHeight="1" x14ac:dyDescent="0.15">
      <c r="A65" s="3"/>
      <c r="B65" s="98">
        <v>48</v>
      </c>
      <c r="C65" s="184" t="str">
        <f>IF('INPUT DATA'!K58="","",'INPUT DATA'!K58)</f>
      </c>
      <c r="D65" s="185"/>
      <c r="E65" s="186"/>
      <c r="F65" s="70"/>
      <c r="G65" s="71"/>
      <c r="H65" s="71"/>
      <c r="I65" s="71"/>
      <c r="J65" s="72"/>
      <c r="K65" s="73" t="str">
        <f t="shared" si="0"/>
      </c>
      <c r="L65" s="74" t="str">
        <f t="shared" si="1"/>
      </c>
      <c r="M65" s="75" t="str">
        <f t="shared" si="2"/>
      </c>
      <c r="N65" s="70"/>
      <c r="O65" s="71"/>
      <c r="P65" s="72"/>
      <c r="Q65" s="73" t="str">
        <f t="shared" si="3"/>
      </c>
      <c r="R65" s="74" t="str">
        <f t="shared" si="4"/>
      </c>
      <c r="S65" s="75" t="str">
        <f t="shared" si="5"/>
      </c>
      <c r="T65" s="70"/>
      <c r="U65" s="71"/>
      <c r="V65" s="72"/>
      <c r="W65" s="77" t="str">
        <f t="shared" si="6"/>
      </c>
      <c r="X65" s="74" t="str">
        <f t="shared" si="7"/>
      </c>
      <c r="Y65" s="75" t="str">
        <f t="shared" si="8"/>
      </c>
      <c r="Z65" s="78" t="str">
        <f t="shared" si="9"/>
      </c>
      <c r="AA65" s="79" t="str">
        <f t="shared" si="10"/>
      </c>
      <c r="AB65" s="80" t="str">
        <f t="shared" si="11"/>
      </c>
      <c r="AC65" s="81" t="str">
        <f t="array" ref="AC65">IF(AB65="","",IFERROR(INDEX(HELPER!$D$8:$D$48,IF(AB65&gt;=HELPER!$B$8,1,MATCH(AB65,HELPER!$B$8:$B$48,-1)+1)),""))</f>
      </c>
      <c r="AD65" s="82" t="str">
        <f>IF(AC65="","",IFERROR(VLOOKUP(AC65,HELPER!$F$8:$G$48,2,FALSE),""))</f>
      </c>
      <c r="AE65" s="3"/>
      <c r="AF65" s="4"/>
    </row>
    <row r="66" spans="1:32" ht="15" customHeight="1" x14ac:dyDescent="0.15">
      <c r="A66" s="3"/>
      <c r="B66" s="98">
        <v>49</v>
      </c>
      <c r="C66" s="184" t="str">
        <f>IF('INPUT DATA'!K59="","",'INPUT DATA'!K59)</f>
      </c>
      <c r="D66" s="185"/>
      <c r="E66" s="186"/>
      <c r="F66" s="70"/>
      <c r="G66" s="71"/>
      <c r="H66" s="71"/>
      <c r="I66" s="71"/>
      <c r="J66" s="72"/>
      <c r="K66" s="73" t="str">
        <f t="shared" si="0"/>
      </c>
      <c r="L66" s="74" t="str">
        <f t="shared" si="1"/>
      </c>
      <c r="M66" s="75" t="str">
        <f t="shared" si="2"/>
      </c>
      <c r="N66" s="70"/>
      <c r="O66" s="71"/>
      <c r="P66" s="72"/>
      <c r="Q66" s="73" t="str">
        <f t="shared" si="3"/>
      </c>
      <c r="R66" s="74" t="str">
        <f t="shared" si="4"/>
      </c>
      <c r="S66" s="75" t="str">
        <f t="shared" si="5"/>
      </c>
      <c r="T66" s="70"/>
      <c r="U66" s="71"/>
      <c r="V66" s="72"/>
      <c r="W66" s="77" t="str">
        <f t="shared" si="6"/>
      </c>
      <c r="X66" s="74" t="str">
        <f t="shared" si="7"/>
      </c>
      <c r="Y66" s="75" t="str">
        <f t="shared" si="8"/>
      </c>
      <c r="Z66" s="78" t="str">
        <f t="shared" si="9"/>
      </c>
      <c r="AA66" s="79" t="str">
        <f t="shared" si="10"/>
      </c>
      <c r="AB66" s="80" t="str">
        <f t="shared" si="11"/>
      </c>
      <c r="AC66" s="81" t="str">
        <f t="array" ref="AC66">IF(AB66="","",IFERROR(INDEX(HELPER!$D$8:$D$48,IF(AB66&gt;=HELPER!$B$8,1,MATCH(AB66,HELPER!$B$8:$B$48,-1)+1)),""))</f>
      </c>
      <c r="AD66" s="82" t="str">
        <f>IF(AC66="","",IFERROR(VLOOKUP(AC66,HELPER!$F$8:$G$48,2,FALSE),""))</f>
      </c>
      <c r="AE66" s="3"/>
      <c r="AF66" s="4"/>
    </row>
    <row r="67" spans="1:32" ht="15" customHeight="1" x14ac:dyDescent="0.15">
      <c r="A67" s="3"/>
      <c r="B67" s="98">
        <v>50</v>
      </c>
      <c r="C67" s="184" t="str">
        <f>IF('INPUT DATA'!K60="","",'INPUT DATA'!K60)</f>
      </c>
      <c r="D67" s="185"/>
      <c r="E67" s="186"/>
      <c r="F67" s="112"/>
      <c r="G67" s="113"/>
      <c r="H67" s="113"/>
      <c r="I67" s="113"/>
      <c r="J67" s="114"/>
      <c r="K67" s="73" t="str">
        <f t="shared" si="0"/>
      </c>
      <c r="L67" s="74" t="str">
        <f t="shared" si="1"/>
      </c>
      <c r="M67" s="75" t="str">
        <f t="shared" si="2"/>
      </c>
      <c r="N67" s="112"/>
      <c r="O67" s="113"/>
      <c r="P67" s="114"/>
      <c r="Q67" s="73" t="str">
        <f t="shared" si="3"/>
      </c>
      <c r="R67" s="74" t="str">
        <f t="shared" si="4"/>
      </c>
      <c r="S67" s="75" t="str">
        <f t="shared" si="5"/>
      </c>
      <c r="T67" s="112"/>
      <c r="U67" s="113"/>
      <c r="V67" s="114"/>
      <c r="W67" s="77" t="str">
        <f t="shared" si="6"/>
      </c>
      <c r="X67" s="74" t="str">
        <f t="shared" si="7"/>
      </c>
      <c r="Y67" s="75" t="str">
        <f t="shared" si="8"/>
      </c>
      <c r="Z67" s="78" t="str">
        <f t="shared" si="9"/>
      </c>
      <c r="AA67" s="79" t="str">
        <f t="shared" si="10"/>
      </c>
      <c r="AB67" s="80" t="str">
        <f t="shared" si="11"/>
      </c>
      <c r="AC67" s="115" t="str">
        <f t="array" ref="AC67">IF(AB67="","",IFERROR(INDEX(HELPER!$D$8:$D$48,IF(AB67&gt;=HELPER!$B$8,1,MATCH(AB67,HELPER!$B$8:$B$48,-1)+1)),""))</f>
      </c>
      <c r="AD67" s="116" t="str">
        <f>IF(AC67="","",IFERROR(VLOOKUP(AC67,HELPER!$F$8:$G$48,2,FALSE),""))</f>
      </c>
      <c r="AE67" s="3"/>
      <c r="AF67" s="4"/>
    </row>
    <row r="68" spans="1:32" ht="15.75" customHeight="1" x14ac:dyDescent="0.15">
      <c r="A68" s="3"/>
      <c r="B68" s="187" t="s">
        <v>7</v>
      </c>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9"/>
      <c r="AE68" s="3"/>
      <c r="AF68" s="4"/>
    </row>
    <row r="69" spans="1:32" ht="15" customHeight="1" x14ac:dyDescent="0.15">
      <c r="A69" s="3"/>
      <c r="B69" s="117">
        <v>1</v>
      </c>
      <c r="C69" s="178" t="str">
        <f>IF('INPUT DATA'!N11="","",'INPUT DATA'!N11)</f>
      </c>
      <c r="D69" s="179"/>
      <c r="E69" s="180"/>
      <c r="F69" s="54"/>
      <c r="G69" s="55"/>
      <c r="H69" s="55"/>
      <c r="I69" s="55"/>
      <c r="J69" s="56"/>
      <c r="K69" s="118" t="str">
        <f t="shared" ref="K69:K118" si="12">IF(COUNT($F69:$J69)=0,"",SUM($F69:$J69))</f>
      </c>
      <c r="L69" s="119" t="str">
        <f t="shared" ref="L69:L118" si="13">IF(COUNT(F69:J69)=0,"",IFERROR(K69/$K$15*$L$15,""))</f>
      </c>
      <c r="M69" s="120" t="str">
        <f t="shared" ref="M69:M118" si="14">IF(L69="","",L69*$M$15)</f>
      </c>
      <c r="N69" s="54"/>
      <c r="O69" s="55"/>
      <c r="P69" s="56"/>
      <c r="Q69" s="118" t="str">
        <f t="shared" ref="Q69:Q118" si="15">IF(COUNT(N69:P69)=0,"",SUM(N69:P69))</f>
      </c>
      <c r="R69" s="119" t="str">
        <f t="shared" ref="R69:R118" si="16">IF(COUNT(N69:P69)=0,"",IFERROR(Q69/$Q$15*$R$15,""))</f>
      </c>
      <c r="S69" s="120" t="str">
        <f t="shared" ref="S69:S118" si="17">IF(R69="","",R69*$S$15)</f>
      </c>
      <c r="T69" s="54"/>
      <c r="U69" s="55"/>
      <c r="V69" s="56"/>
      <c r="W69" s="121" t="str">
        <f t="shared" ref="W69:W118" si="18">IF(T69="","",IFERROR(T69/$T$15*$W$15,""))</f>
      </c>
      <c r="X69" s="119" t="str">
        <f t="shared" ref="X69:X118" si="19">IF(U69="","",IFERROR(U69/$U$15*$X$15,""))</f>
      </c>
      <c r="Y69" s="120" t="str">
        <f t="shared" ref="Y69:Y118" si="20">IF(V69="","",IFERROR(V69/$V$15*$Y$15,""))</f>
      </c>
      <c r="Z69" s="122" t="str">
        <f t="shared" ref="Z69:Z118" si="21">IF(COUNT(T69:V69)=0,"",SUM(W69:Y69))</f>
      </c>
      <c r="AA69" s="123" t="str">
        <f t="shared" ref="AA69:AA118" si="22">IF(Z69="","",Z69*$AA$15)</f>
      </c>
      <c r="AB69" s="124" t="str">
        <f t="shared" ref="AB69:AB118" si="23">IF(COUNT(F69:J69,N69:P69,T69:V69)=0,"",SUM(M69,S69,AA69))</f>
      </c>
      <c r="AC69" s="67" t="str">
        <f t="array" ref="AC69">IF(AB69="","",IFERROR(INDEX(HELPER!$D$8:$D$48,IF(AB69&gt;=HELPER!$B$8,1,MATCH(AB69,HELPER!$B$8:$B$48,-1)+1)),""))</f>
      </c>
      <c r="AD69" s="68" t="str">
        <f>IF(AC69="","",IFERROR(VLOOKUP(AC69,HELPER!$F$8:$G$48,2,FALSE),""))</f>
      </c>
      <c r="AE69" s="3"/>
      <c r="AF69" s="4"/>
    </row>
    <row r="70" spans="1:32" ht="15" customHeight="1" x14ac:dyDescent="0.15">
      <c r="A70" s="3"/>
      <c r="B70" s="125">
        <v>2</v>
      </c>
      <c r="C70" s="181" t="str">
        <f>IF('INPUT DATA'!N12="","",'INPUT DATA'!N12)</f>
      </c>
      <c r="D70" s="182"/>
      <c r="E70" s="183"/>
      <c r="F70" s="70"/>
      <c r="G70" s="71"/>
      <c r="H70" s="71"/>
      <c r="I70" s="71"/>
      <c r="J70" s="72"/>
      <c r="K70" s="73" t="str">
        <f t="shared" si="12"/>
      </c>
      <c r="L70" s="74" t="str">
        <f t="shared" si="13"/>
      </c>
      <c r="M70" s="75" t="str">
        <f t="shared" si="14"/>
      </c>
      <c r="N70" s="70"/>
      <c r="O70" s="71"/>
      <c r="P70" s="72"/>
      <c r="Q70" s="73" t="str">
        <f t="shared" si="15"/>
      </c>
      <c r="R70" s="74" t="str">
        <f t="shared" si="16"/>
      </c>
      <c r="S70" s="75" t="str">
        <f t="shared" si="17"/>
      </c>
      <c r="T70" s="70"/>
      <c r="U70" s="71"/>
      <c r="V70" s="72"/>
      <c r="W70" s="77" t="str">
        <f t="shared" si="18"/>
      </c>
      <c r="X70" s="74" t="str">
        <f t="shared" si="19"/>
      </c>
      <c r="Y70" s="75" t="str">
        <f t="shared" si="20"/>
      </c>
      <c r="Z70" s="78" t="str">
        <f t="shared" si="21"/>
      </c>
      <c r="AA70" s="79" t="str">
        <f t="shared" si="22"/>
      </c>
      <c r="AB70" s="80" t="str">
        <f t="shared" si="23"/>
      </c>
      <c r="AC70" s="81" t="str">
        <f t="array" ref="AC70">IF(AB70="","",IFERROR(INDEX(HELPER!$D$8:$D$48,IF(AB70&gt;=HELPER!$B$8,1,MATCH(AB70,HELPER!$B$8:$B$48,-1)+1)),""))</f>
      </c>
      <c r="AD70" s="82" t="str">
        <f>IF(AC70="","",IFERROR(VLOOKUP(AC70,HELPER!$F$8:$G$48,2,FALSE),""))</f>
      </c>
      <c r="AE70" s="3"/>
      <c r="AF70" s="4"/>
    </row>
    <row r="71" spans="1:32" ht="15" customHeight="1" x14ac:dyDescent="0.15">
      <c r="A71" s="3"/>
      <c r="B71" s="125">
        <v>3</v>
      </c>
      <c r="C71" s="181" t="str">
        <f>IF('INPUT DATA'!N13="","",'INPUT DATA'!N13)</f>
      </c>
      <c r="D71" s="182"/>
      <c r="E71" s="183"/>
      <c r="F71" s="70"/>
      <c r="G71" s="71"/>
      <c r="H71" s="71"/>
      <c r="I71" s="71"/>
      <c r="J71" s="72"/>
      <c r="K71" s="73" t="str">
        <f t="shared" si="12"/>
      </c>
      <c r="L71" s="74" t="str">
        <f t="shared" si="13"/>
      </c>
      <c r="M71" s="75" t="str">
        <f t="shared" si="14"/>
      </c>
      <c r="N71" s="70"/>
      <c r="O71" s="71"/>
      <c r="P71" s="72"/>
      <c r="Q71" s="73" t="str">
        <f t="shared" si="15"/>
      </c>
      <c r="R71" s="74" t="str">
        <f t="shared" si="16"/>
      </c>
      <c r="S71" s="75" t="str">
        <f t="shared" si="17"/>
      </c>
      <c r="T71" s="70"/>
      <c r="U71" s="71"/>
      <c r="V71" s="72"/>
      <c r="W71" s="77" t="str">
        <f t="shared" si="18"/>
      </c>
      <c r="X71" s="74" t="str">
        <f t="shared" si="19"/>
      </c>
      <c r="Y71" s="75" t="str">
        <f t="shared" si="20"/>
      </c>
      <c r="Z71" s="78" t="str">
        <f t="shared" si="21"/>
      </c>
      <c r="AA71" s="79" t="str">
        <f t="shared" si="22"/>
      </c>
      <c r="AB71" s="80" t="str">
        <f t="shared" si="23"/>
      </c>
      <c r="AC71" s="81" t="str">
        <f t="array" ref="AC71">IF(AB71="","",IFERROR(INDEX(HELPER!$D$8:$D$48,IF(AB71&gt;=HELPER!$B$8,1,MATCH(AB71,HELPER!$B$8:$B$48,-1)+1)),""))</f>
      </c>
      <c r="AD71" s="82" t="str">
        <f>IF(AC71="","",IFERROR(VLOOKUP(AC71,HELPER!$F$8:$G$48,2,FALSE),""))</f>
      </c>
      <c r="AE71" s="3"/>
      <c r="AF71" s="4"/>
    </row>
    <row r="72" spans="1:32" ht="15" customHeight="1" x14ac:dyDescent="0.15">
      <c r="A72" s="3"/>
      <c r="B72" s="125">
        <v>4</v>
      </c>
      <c r="C72" s="181" t="str">
        <f>IF('INPUT DATA'!N14="","",'INPUT DATA'!N14)</f>
      </c>
      <c r="D72" s="182"/>
      <c r="E72" s="183"/>
      <c r="F72" s="70"/>
      <c r="G72" s="71"/>
      <c r="H72" s="71"/>
      <c r="I72" s="71"/>
      <c r="J72" s="72"/>
      <c r="K72" s="73" t="str">
        <f t="shared" si="12"/>
      </c>
      <c r="L72" s="74" t="str">
        <f t="shared" si="13"/>
      </c>
      <c r="M72" s="75" t="str">
        <f t="shared" si="14"/>
      </c>
      <c r="N72" s="70"/>
      <c r="O72" s="71"/>
      <c r="P72" s="72"/>
      <c r="Q72" s="73" t="str">
        <f t="shared" si="15"/>
      </c>
      <c r="R72" s="74" t="str">
        <f t="shared" si="16"/>
      </c>
      <c r="S72" s="75" t="str">
        <f t="shared" si="17"/>
      </c>
      <c r="T72" s="70"/>
      <c r="U72" s="71"/>
      <c r="V72" s="72"/>
      <c r="W72" s="77" t="str">
        <f t="shared" si="18"/>
      </c>
      <c r="X72" s="74" t="str">
        <f t="shared" si="19"/>
      </c>
      <c r="Y72" s="75" t="str">
        <f t="shared" si="20"/>
      </c>
      <c r="Z72" s="78" t="str">
        <f t="shared" si="21"/>
      </c>
      <c r="AA72" s="79" t="str">
        <f t="shared" si="22"/>
      </c>
      <c r="AB72" s="80" t="str">
        <f t="shared" si="23"/>
      </c>
      <c r="AC72" s="81" t="str">
        <f t="array" ref="AC72">IF(AB72="","",IFERROR(INDEX(HELPER!$D$8:$D$48,IF(AB72&gt;=HELPER!$B$8,1,MATCH(AB72,HELPER!$B$8:$B$48,-1)+1)),""))</f>
      </c>
      <c r="AD72" s="82" t="str">
        <f>IF(AC72="","",IFERROR(VLOOKUP(AC72,HELPER!$F$8:$G$48,2,FALSE),""))</f>
      </c>
      <c r="AE72" s="3"/>
      <c r="AF72" s="4"/>
    </row>
    <row r="73" spans="1:32" ht="15" customHeight="1" x14ac:dyDescent="0.15">
      <c r="A73" s="3"/>
      <c r="B73" s="125">
        <v>5</v>
      </c>
      <c r="C73" s="181" t="str">
        <f>IF('INPUT DATA'!N15="","",'INPUT DATA'!N15)</f>
      </c>
      <c r="D73" s="182"/>
      <c r="E73" s="183"/>
      <c r="F73" s="70"/>
      <c r="G73" s="71"/>
      <c r="H73" s="71"/>
      <c r="I73" s="71"/>
      <c r="J73" s="72"/>
      <c r="K73" s="73" t="str">
        <f t="shared" si="12"/>
      </c>
      <c r="L73" s="74" t="str">
        <f t="shared" si="13"/>
      </c>
      <c r="M73" s="75" t="str">
        <f t="shared" si="14"/>
      </c>
      <c r="N73" s="70"/>
      <c r="O73" s="71"/>
      <c r="P73" s="72"/>
      <c r="Q73" s="73" t="str">
        <f t="shared" si="15"/>
      </c>
      <c r="R73" s="74" t="str">
        <f t="shared" si="16"/>
      </c>
      <c r="S73" s="75" t="str">
        <f t="shared" si="17"/>
      </c>
      <c r="T73" s="70"/>
      <c r="U73" s="71"/>
      <c r="V73" s="72"/>
      <c r="W73" s="77" t="str">
        <f t="shared" si="18"/>
      </c>
      <c r="X73" s="74" t="str">
        <f t="shared" si="19"/>
      </c>
      <c r="Y73" s="75" t="str">
        <f t="shared" si="20"/>
      </c>
      <c r="Z73" s="78" t="str">
        <f t="shared" si="21"/>
      </c>
      <c r="AA73" s="79" t="str">
        <f t="shared" si="22"/>
      </c>
      <c r="AB73" s="80" t="str">
        <f t="shared" si="23"/>
      </c>
      <c r="AC73" s="81" t="str">
        <f t="array" ref="AC73">IF(AB73="","",IFERROR(INDEX(HELPER!$D$8:$D$48,IF(AB73&gt;=HELPER!$B$8,1,MATCH(AB73,HELPER!$B$8:$B$48,-1)+1)),""))</f>
      </c>
      <c r="AD73" s="82" t="str">
        <f>IF(AC73="","",IFERROR(VLOOKUP(AC73,HELPER!$F$8:$G$48,2,FALSE),""))</f>
      </c>
      <c r="AE73" s="3"/>
      <c r="AF73" s="4"/>
    </row>
    <row r="74" spans="1:32" ht="15" customHeight="1" x14ac:dyDescent="0.15">
      <c r="A74" s="3"/>
      <c r="B74" s="125">
        <v>6</v>
      </c>
      <c r="C74" s="181" t="str">
        <f>IF('INPUT DATA'!N16="","",'INPUT DATA'!N16)</f>
      </c>
      <c r="D74" s="182"/>
      <c r="E74" s="183"/>
      <c r="F74" s="70"/>
      <c r="G74" s="71"/>
      <c r="H74" s="71"/>
      <c r="I74" s="71"/>
      <c r="J74" s="72"/>
      <c r="K74" s="73" t="str">
        <f t="shared" si="12"/>
      </c>
      <c r="L74" s="74" t="str">
        <f t="shared" si="13"/>
      </c>
      <c r="M74" s="75" t="str">
        <f t="shared" si="14"/>
      </c>
      <c r="N74" s="70"/>
      <c r="O74" s="71"/>
      <c r="P74" s="72"/>
      <c r="Q74" s="73" t="str">
        <f t="shared" si="15"/>
      </c>
      <c r="R74" s="74" t="str">
        <f t="shared" si="16"/>
      </c>
      <c r="S74" s="75" t="str">
        <f t="shared" si="17"/>
      </c>
      <c r="T74" s="70"/>
      <c r="U74" s="71"/>
      <c r="V74" s="72"/>
      <c r="W74" s="77" t="str">
        <f t="shared" si="18"/>
      </c>
      <c r="X74" s="74" t="str">
        <f t="shared" si="19"/>
      </c>
      <c r="Y74" s="75" t="str">
        <f t="shared" si="20"/>
      </c>
      <c r="Z74" s="78" t="str">
        <f t="shared" si="21"/>
      </c>
      <c r="AA74" s="79" t="str">
        <f t="shared" si="22"/>
      </c>
      <c r="AB74" s="80" t="str">
        <f t="shared" si="23"/>
      </c>
      <c r="AC74" s="81" t="str">
        <f t="array" ref="AC74">IF(AB74="","",IFERROR(INDEX(HELPER!$D$8:$D$48,IF(AB74&gt;=HELPER!$B$8,1,MATCH(AB74,HELPER!$B$8:$B$48,-1)+1)),""))</f>
      </c>
      <c r="AD74" s="82" t="str">
        <f>IF(AC74="","",IFERROR(VLOOKUP(AC74,HELPER!$F$8:$G$48,2,FALSE),""))</f>
      </c>
      <c r="AE74" s="3"/>
      <c r="AF74" s="4"/>
    </row>
    <row r="75" spans="1:32" ht="15" customHeight="1" x14ac:dyDescent="0.15">
      <c r="A75" s="3"/>
      <c r="B75" s="125">
        <v>7</v>
      </c>
      <c r="C75" s="181" t="str">
        <f>IF('INPUT DATA'!N17="","",'INPUT DATA'!N17)</f>
      </c>
      <c r="D75" s="182"/>
      <c r="E75" s="183"/>
      <c r="F75" s="70"/>
      <c r="G75" s="71"/>
      <c r="H75" s="71"/>
      <c r="I75" s="71"/>
      <c r="J75" s="72"/>
      <c r="K75" s="73" t="str">
        <f t="shared" si="12"/>
      </c>
      <c r="L75" s="74" t="str">
        <f t="shared" si="13"/>
      </c>
      <c r="M75" s="75" t="str">
        <f t="shared" si="14"/>
      </c>
      <c r="N75" s="70"/>
      <c r="O75" s="71"/>
      <c r="P75" s="72"/>
      <c r="Q75" s="73" t="str">
        <f t="shared" si="15"/>
      </c>
      <c r="R75" s="74" t="str">
        <f t="shared" si="16"/>
      </c>
      <c r="S75" s="75" t="str">
        <f t="shared" si="17"/>
      </c>
      <c r="T75" s="70"/>
      <c r="U75" s="71"/>
      <c r="V75" s="72"/>
      <c r="W75" s="77" t="str">
        <f t="shared" si="18"/>
      </c>
      <c r="X75" s="74" t="str">
        <f t="shared" si="19"/>
      </c>
      <c r="Y75" s="75" t="str">
        <f t="shared" si="20"/>
      </c>
      <c r="Z75" s="78" t="str">
        <f t="shared" si="21"/>
      </c>
      <c r="AA75" s="79" t="str">
        <f t="shared" si="22"/>
      </c>
      <c r="AB75" s="80" t="str">
        <f t="shared" si="23"/>
      </c>
      <c r="AC75" s="81" t="str">
        <f t="array" ref="AC75">IF(AB75="","",IFERROR(INDEX(HELPER!$D$8:$D$48,IF(AB75&gt;=HELPER!$B$8,1,MATCH(AB75,HELPER!$B$8:$B$48,-1)+1)),""))</f>
      </c>
      <c r="AD75" s="82" t="str">
        <f>IF(AC75="","",IFERROR(VLOOKUP(AC75,HELPER!$F$8:$G$48,2,FALSE),""))</f>
      </c>
      <c r="AE75" s="3"/>
      <c r="AF75" s="4"/>
    </row>
    <row r="76" spans="1:32" ht="15" customHeight="1" x14ac:dyDescent="0.15">
      <c r="A76" s="3"/>
      <c r="B76" s="125">
        <v>8</v>
      </c>
      <c r="C76" s="181" t="str">
        <f>IF('INPUT DATA'!N18="","",'INPUT DATA'!N18)</f>
      </c>
      <c r="D76" s="182"/>
      <c r="E76" s="183"/>
      <c r="F76" s="70"/>
      <c r="G76" s="71"/>
      <c r="H76" s="71"/>
      <c r="I76" s="71"/>
      <c r="J76" s="72"/>
      <c r="K76" s="73" t="str">
        <f t="shared" si="12"/>
      </c>
      <c r="L76" s="74" t="str">
        <f t="shared" si="13"/>
      </c>
      <c r="M76" s="75" t="str">
        <f t="shared" si="14"/>
      </c>
      <c r="N76" s="70"/>
      <c r="O76" s="71"/>
      <c r="P76" s="72"/>
      <c r="Q76" s="73" t="str">
        <f t="shared" si="15"/>
      </c>
      <c r="R76" s="74" t="str">
        <f t="shared" si="16"/>
      </c>
      <c r="S76" s="75" t="str">
        <f t="shared" si="17"/>
      </c>
      <c r="T76" s="70"/>
      <c r="U76" s="71"/>
      <c r="V76" s="72"/>
      <c r="W76" s="77" t="str">
        <f t="shared" si="18"/>
      </c>
      <c r="X76" s="74" t="str">
        <f t="shared" si="19"/>
      </c>
      <c r="Y76" s="75" t="str">
        <f t="shared" si="20"/>
      </c>
      <c r="Z76" s="78" t="str">
        <f t="shared" si="21"/>
      </c>
      <c r="AA76" s="79" t="str">
        <f t="shared" si="22"/>
      </c>
      <c r="AB76" s="80" t="str">
        <f t="shared" si="23"/>
      </c>
      <c r="AC76" s="81" t="str">
        <f t="array" ref="AC76">IF(AB76="","",IFERROR(INDEX(HELPER!$D$8:$D$48,IF(AB76&gt;=HELPER!$B$8,1,MATCH(AB76,HELPER!$B$8:$B$48,-1)+1)),""))</f>
      </c>
      <c r="AD76" s="82" t="str">
        <f>IF(AC76="","",IFERROR(VLOOKUP(AC76,HELPER!$F$8:$G$48,2,FALSE),""))</f>
      </c>
      <c r="AE76" s="3"/>
      <c r="AF76" s="4"/>
    </row>
    <row r="77" spans="1:32" ht="15" customHeight="1" x14ac:dyDescent="0.15">
      <c r="A77" s="3"/>
      <c r="B77" s="125">
        <v>9</v>
      </c>
      <c r="C77" s="181" t="str">
        <f>IF('INPUT DATA'!N19="","",'INPUT DATA'!N19)</f>
      </c>
      <c r="D77" s="182"/>
      <c r="E77" s="183"/>
      <c r="F77" s="70"/>
      <c r="G77" s="71"/>
      <c r="H77" s="71"/>
      <c r="I77" s="71"/>
      <c r="J77" s="72"/>
      <c r="K77" s="73" t="str">
        <f t="shared" si="12"/>
      </c>
      <c r="L77" s="74" t="str">
        <f t="shared" si="13"/>
      </c>
      <c r="M77" s="75" t="str">
        <f t="shared" si="14"/>
      </c>
      <c r="N77" s="70"/>
      <c r="O77" s="71"/>
      <c r="P77" s="72"/>
      <c r="Q77" s="73" t="str">
        <f t="shared" si="15"/>
      </c>
      <c r="R77" s="74" t="str">
        <f t="shared" si="16"/>
      </c>
      <c r="S77" s="75" t="str">
        <f t="shared" si="17"/>
      </c>
      <c r="T77" s="70"/>
      <c r="U77" s="71"/>
      <c r="V77" s="72"/>
      <c r="W77" s="77" t="str">
        <f t="shared" si="18"/>
      </c>
      <c r="X77" s="74" t="str">
        <f t="shared" si="19"/>
      </c>
      <c r="Y77" s="75" t="str">
        <f t="shared" si="20"/>
      </c>
      <c r="Z77" s="78" t="str">
        <f t="shared" si="21"/>
      </c>
      <c r="AA77" s="79" t="str">
        <f t="shared" si="22"/>
      </c>
      <c r="AB77" s="80" t="str">
        <f t="shared" si="23"/>
      </c>
      <c r="AC77" s="81" t="str">
        <f t="array" ref="AC77">IF(AB77="","",IFERROR(INDEX(HELPER!$D$8:$D$48,IF(AB77&gt;=HELPER!$B$8,1,MATCH(AB77,HELPER!$B$8:$B$48,-1)+1)),""))</f>
      </c>
      <c r="AD77" s="82" t="str">
        <f>IF(AC77="","",IFERROR(VLOOKUP(AC77,HELPER!$F$8:$G$48,2,FALSE),""))</f>
      </c>
      <c r="AE77" s="3"/>
      <c r="AF77" s="4"/>
    </row>
    <row r="78" spans="1:32" ht="15" customHeight="1" x14ac:dyDescent="0.15">
      <c r="A78" s="3"/>
      <c r="B78" s="125">
        <v>10</v>
      </c>
      <c r="C78" s="181" t="str">
        <f>IF('INPUT DATA'!N20="","",'INPUT DATA'!N20)</f>
      </c>
      <c r="D78" s="182"/>
      <c r="E78" s="183"/>
      <c r="F78" s="70"/>
      <c r="G78" s="71"/>
      <c r="H78" s="71"/>
      <c r="I78" s="71"/>
      <c r="J78" s="72"/>
      <c r="K78" s="73" t="str">
        <f t="shared" si="12"/>
      </c>
      <c r="L78" s="74" t="str">
        <f t="shared" si="13"/>
      </c>
      <c r="M78" s="75" t="str">
        <f t="shared" si="14"/>
      </c>
      <c r="N78" s="70"/>
      <c r="O78" s="71"/>
      <c r="P78" s="72"/>
      <c r="Q78" s="73" t="str">
        <f t="shared" si="15"/>
      </c>
      <c r="R78" s="74" t="str">
        <f t="shared" si="16"/>
      </c>
      <c r="S78" s="75" t="str">
        <f t="shared" si="17"/>
      </c>
      <c r="T78" s="70"/>
      <c r="U78" s="71"/>
      <c r="V78" s="72"/>
      <c r="W78" s="77" t="str">
        <f t="shared" si="18"/>
      </c>
      <c r="X78" s="74" t="str">
        <f t="shared" si="19"/>
      </c>
      <c r="Y78" s="75" t="str">
        <f t="shared" si="20"/>
      </c>
      <c r="Z78" s="78" t="str">
        <f t="shared" si="21"/>
      </c>
      <c r="AA78" s="79" t="str">
        <f t="shared" si="22"/>
      </c>
      <c r="AB78" s="80" t="str">
        <f t="shared" si="23"/>
      </c>
      <c r="AC78" s="81" t="str">
        <f t="array" ref="AC78">IF(AB78="","",IFERROR(INDEX(HELPER!$D$8:$D$48,IF(AB78&gt;=HELPER!$B$8,1,MATCH(AB78,HELPER!$B$8:$B$48,-1)+1)),""))</f>
      </c>
      <c r="AD78" s="82" t="str">
        <f>IF(AC78="","",IFERROR(VLOOKUP(AC78,HELPER!$F$8:$G$48,2,FALSE),""))</f>
      </c>
      <c r="AE78" s="3"/>
      <c r="AF78" s="4"/>
    </row>
    <row r="79" spans="1:32" ht="15" customHeight="1" x14ac:dyDescent="0.15">
      <c r="A79" s="3"/>
      <c r="B79" s="125">
        <v>11</v>
      </c>
      <c r="C79" s="181" t="str">
        <f>IF('INPUT DATA'!N21="","",'INPUT DATA'!N21)</f>
      </c>
      <c r="D79" s="182"/>
      <c r="E79" s="183"/>
      <c r="F79" s="70"/>
      <c r="G79" s="71"/>
      <c r="H79" s="71"/>
      <c r="I79" s="71"/>
      <c r="J79" s="72"/>
      <c r="K79" s="73" t="str">
        <f t="shared" si="12"/>
      </c>
      <c r="L79" s="74" t="str">
        <f t="shared" si="13"/>
      </c>
      <c r="M79" s="75" t="str">
        <f t="shared" si="14"/>
      </c>
      <c r="N79" s="70"/>
      <c r="O79" s="71"/>
      <c r="P79" s="72"/>
      <c r="Q79" s="73" t="str">
        <f t="shared" si="15"/>
      </c>
      <c r="R79" s="74" t="str">
        <f t="shared" si="16"/>
      </c>
      <c r="S79" s="75" t="str">
        <f t="shared" si="17"/>
      </c>
      <c r="T79" s="70"/>
      <c r="U79" s="71"/>
      <c r="V79" s="72"/>
      <c r="W79" s="77" t="str">
        <f t="shared" si="18"/>
      </c>
      <c r="X79" s="74" t="str">
        <f t="shared" si="19"/>
      </c>
      <c r="Y79" s="75" t="str">
        <f t="shared" si="20"/>
      </c>
      <c r="Z79" s="78" t="str">
        <f t="shared" si="21"/>
      </c>
      <c r="AA79" s="79" t="str">
        <f t="shared" si="22"/>
      </c>
      <c r="AB79" s="80" t="str">
        <f t="shared" si="23"/>
      </c>
      <c r="AC79" s="81" t="str">
        <f t="array" ref="AC79">IF(AB79="","",IFERROR(INDEX(HELPER!$D$8:$D$48,IF(AB79&gt;=HELPER!$B$8,1,MATCH(AB79,HELPER!$B$8:$B$48,-1)+1)),""))</f>
      </c>
      <c r="AD79" s="82" t="str">
        <f>IF(AC79="","",IFERROR(VLOOKUP(AC79,HELPER!$F$8:$G$48,2,FALSE),""))</f>
      </c>
      <c r="AE79" s="3"/>
      <c r="AF79" s="4"/>
    </row>
    <row r="80" spans="1:32" ht="15" customHeight="1" x14ac:dyDescent="0.15">
      <c r="A80" s="3"/>
      <c r="B80" s="125">
        <v>12</v>
      </c>
      <c r="C80" s="181" t="str">
        <f>IF('INPUT DATA'!N22="","",'INPUT DATA'!N22)</f>
      </c>
      <c r="D80" s="182"/>
      <c r="E80" s="183"/>
      <c r="F80" s="70"/>
      <c r="G80" s="71"/>
      <c r="H80" s="71"/>
      <c r="I80" s="71"/>
      <c r="J80" s="72"/>
      <c r="K80" s="73" t="str">
        <f t="shared" si="12"/>
      </c>
      <c r="L80" s="74" t="str">
        <f t="shared" si="13"/>
      </c>
      <c r="M80" s="75" t="str">
        <f t="shared" si="14"/>
      </c>
      <c r="N80" s="70"/>
      <c r="O80" s="71"/>
      <c r="P80" s="72"/>
      <c r="Q80" s="73" t="str">
        <f t="shared" si="15"/>
      </c>
      <c r="R80" s="74" t="str">
        <f t="shared" si="16"/>
      </c>
      <c r="S80" s="75" t="str">
        <f t="shared" si="17"/>
      </c>
      <c r="T80" s="70"/>
      <c r="U80" s="71"/>
      <c r="V80" s="72"/>
      <c r="W80" s="77" t="str">
        <f t="shared" si="18"/>
      </c>
      <c r="X80" s="74" t="str">
        <f t="shared" si="19"/>
      </c>
      <c r="Y80" s="75" t="str">
        <f t="shared" si="20"/>
      </c>
      <c r="Z80" s="78" t="str">
        <f t="shared" si="21"/>
      </c>
      <c r="AA80" s="79" t="str">
        <f t="shared" si="22"/>
      </c>
      <c r="AB80" s="80" t="str">
        <f t="shared" si="23"/>
      </c>
      <c r="AC80" s="81" t="str">
        <f t="array" ref="AC80">IF(AB80="","",IFERROR(INDEX(HELPER!$D$8:$D$48,IF(AB80&gt;=HELPER!$B$8,1,MATCH(AB80,HELPER!$B$8:$B$48,-1)+1)),""))</f>
      </c>
      <c r="AD80" s="82" t="str">
        <f>IF(AC80="","",IFERROR(VLOOKUP(AC80,HELPER!$F$8:$G$48,2,FALSE),""))</f>
      </c>
      <c r="AE80" s="3"/>
      <c r="AF80" s="4"/>
    </row>
    <row r="81" spans="1:32" ht="15" customHeight="1" x14ac:dyDescent="0.15">
      <c r="A81" s="3"/>
      <c r="B81" s="125">
        <v>13</v>
      </c>
      <c r="C81" s="181" t="str">
        <f>IF('INPUT DATA'!N23="","",'INPUT DATA'!N23)</f>
      </c>
      <c r="D81" s="182"/>
      <c r="E81" s="183"/>
      <c r="F81" s="70"/>
      <c r="G81" s="71"/>
      <c r="H81" s="71"/>
      <c r="I81" s="71"/>
      <c r="J81" s="72"/>
      <c r="K81" s="73" t="str">
        <f t="shared" si="12"/>
      </c>
      <c r="L81" s="74" t="str">
        <f t="shared" si="13"/>
      </c>
      <c r="M81" s="75" t="str">
        <f t="shared" si="14"/>
      </c>
      <c r="N81" s="70"/>
      <c r="O81" s="71"/>
      <c r="P81" s="72"/>
      <c r="Q81" s="73" t="str">
        <f t="shared" si="15"/>
      </c>
      <c r="R81" s="74" t="str">
        <f t="shared" si="16"/>
      </c>
      <c r="S81" s="75" t="str">
        <f t="shared" si="17"/>
      </c>
      <c r="T81" s="70"/>
      <c r="U81" s="71"/>
      <c r="V81" s="72"/>
      <c r="W81" s="77" t="str">
        <f t="shared" si="18"/>
      </c>
      <c r="X81" s="74" t="str">
        <f t="shared" si="19"/>
      </c>
      <c r="Y81" s="75" t="str">
        <f t="shared" si="20"/>
      </c>
      <c r="Z81" s="78" t="str">
        <f t="shared" si="21"/>
      </c>
      <c r="AA81" s="79" t="str">
        <f t="shared" si="22"/>
      </c>
      <c r="AB81" s="80" t="str">
        <f t="shared" si="23"/>
      </c>
      <c r="AC81" s="81" t="str">
        <f t="array" ref="AC81">IF(AB81="","",IFERROR(INDEX(HELPER!$D$8:$D$48,IF(AB81&gt;=HELPER!$B$8,1,MATCH(AB81,HELPER!$B$8:$B$48,-1)+1)),""))</f>
      </c>
      <c r="AD81" s="82" t="str">
        <f>IF(AC81="","",IFERROR(VLOOKUP(AC81,HELPER!$F$8:$G$48,2,FALSE),""))</f>
      </c>
      <c r="AE81" s="3"/>
      <c r="AF81" s="4"/>
    </row>
    <row r="82" spans="1:32" ht="15" customHeight="1" x14ac:dyDescent="0.15">
      <c r="A82" s="3"/>
      <c r="B82" s="125">
        <v>14</v>
      </c>
      <c r="C82" s="181" t="str">
        <f>IF('INPUT DATA'!N24="","",'INPUT DATA'!N24)</f>
      </c>
      <c r="D82" s="182"/>
      <c r="E82" s="183"/>
      <c r="F82" s="70"/>
      <c r="G82" s="71"/>
      <c r="H82" s="71"/>
      <c r="I82" s="71"/>
      <c r="J82" s="72"/>
      <c r="K82" s="73" t="str">
        <f t="shared" si="12"/>
      </c>
      <c r="L82" s="74" t="str">
        <f t="shared" si="13"/>
      </c>
      <c r="M82" s="75" t="str">
        <f t="shared" si="14"/>
      </c>
      <c r="N82" s="70"/>
      <c r="O82" s="71"/>
      <c r="P82" s="72"/>
      <c r="Q82" s="73" t="str">
        <f t="shared" si="15"/>
      </c>
      <c r="R82" s="74" t="str">
        <f t="shared" si="16"/>
      </c>
      <c r="S82" s="75" t="str">
        <f t="shared" si="17"/>
      </c>
      <c r="T82" s="70"/>
      <c r="U82" s="71"/>
      <c r="V82" s="72"/>
      <c r="W82" s="77" t="str">
        <f t="shared" si="18"/>
      </c>
      <c r="X82" s="74" t="str">
        <f t="shared" si="19"/>
      </c>
      <c r="Y82" s="75" t="str">
        <f t="shared" si="20"/>
      </c>
      <c r="Z82" s="78" t="str">
        <f t="shared" si="21"/>
      </c>
      <c r="AA82" s="79" t="str">
        <f t="shared" si="22"/>
      </c>
      <c r="AB82" s="80" t="str">
        <f t="shared" si="23"/>
      </c>
      <c r="AC82" s="81" t="str">
        <f t="array" ref="AC82">IF(AB82="","",IFERROR(INDEX(HELPER!$D$8:$D$48,IF(AB82&gt;=HELPER!$B$8,1,MATCH(AB82,HELPER!$B$8:$B$48,-1)+1)),""))</f>
      </c>
      <c r="AD82" s="82" t="str">
        <f>IF(AC82="","",IFERROR(VLOOKUP(AC82,HELPER!$F$8:$G$48,2,FALSE),""))</f>
      </c>
      <c r="AE82" s="3"/>
      <c r="AF82" s="4"/>
    </row>
    <row r="83" spans="1:32" ht="15" customHeight="1" x14ac:dyDescent="0.15">
      <c r="A83" s="3"/>
      <c r="B83" s="125">
        <v>15</v>
      </c>
      <c r="C83" s="181" t="str">
        <f>IF('INPUT DATA'!N25="","",'INPUT DATA'!N25)</f>
      </c>
      <c r="D83" s="182"/>
      <c r="E83" s="183"/>
      <c r="F83" s="70"/>
      <c r="G83" s="71"/>
      <c r="H83" s="71"/>
      <c r="I83" s="71"/>
      <c r="J83" s="72"/>
      <c r="K83" s="73" t="str">
        <f t="shared" si="12"/>
      </c>
      <c r="L83" s="74" t="str">
        <f t="shared" si="13"/>
      </c>
      <c r="M83" s="75" t="str">
        <f t="shared" si="14"/>
      </c>
      <c r="N83" s="70"/>
      <c r="O83" s="71"/>
      <c r="P83" s="72"/>
      <c r="Q83" s="73" t="str">
        <f t="shared" si="15"/>
      </c>
      <c r="R83" s="74" t="str">
        <f t="shared" si="16"/>
      </c>
      <c r="S83" s="75" t="str">
        <f t="shared" si="17"/>
      </c>
      <c r="T83" s="70"/>
      <c r="U83" s="71"/>
      <c r="V83" s="72"/>
      <c r="W83" s="77" t="str">
        <f t="shared" si="18"/>
      </c>
      <c r="X83" s="74" t="str">
        <f t="shared" si="19"/>
      </c>
      <c r="Y83" s="75" t="str">
        <f t="shared" si="20"/>
      </c>
      <c r="Z83" s="78" t="str">
        <f t="shared" si="21"/>
      </c>
      <c r="AA83" s="79" t="str">
        <f t="shared" si="22"/>
      </c>
      <c r="AB83" s="80" t="str">
        <f t="shared" si="23"/>
      </c>
      <c r="AC83" s="81" t="str">
        <f t="array" ref="AC83">IF(AB83="","",IFERROR(INDEX(HELPER!$D$8:$D$48,IF(AB83&gt;=HELPER!$B$8,1,MATCH(AB83,HELPER!$B$8:$B$48,-1)+1)),""))</f>
      </c>
      <c r="AD83" s="82" t="str">
        <f>IF(AC83="","",IFERROR(VLOOKUP(AC83,HELPER!$F$8:$G$48,2,FALSE),""))</f>
      </c>
      <c r="AE83" s="3"/>
      <c r="AF83" s="4"/>
    </row>
    <row r="84" spans="1:32" ht="15" customHeight="1" x14ac:dyDescent="0.15">
      <c r="A84" s="3"/>
      <c r="B84" s="125">
        <v>16</v>
      </c>
      <c r="C84" s="181" t="str">
        <f>IF('INPUT DATA'!N26="","",'INPUT DATA'!N26)</f>
      </c>
      <c r="D84" s="182"/>
      <c r="E84" s="183"/>
      <c r="F84" s="70"/>
      <c r="G84" s="71"/>
      <c r="H84" s="71"/>
      <c r="I84" s="71"/>
      <c r="J84" s="72"/>
      <c r="K84" s="73" t="str">
        <f t="shared" si="12"/>
      </c>
      <c r="L84" s="74" t="str">
        <f t="shared" si="13"/>
      </c>
      <c r="M84" s="75" t="str">
        <f t="shared" si="14"/>
      </c>
      <c r="N84" s="70"/>
      <c r="O84" s="71"/>
      <c r="P84" s="72"/>
      <c r="Q84" s="73" t="str">
        <f t="shared" si="15"/>
      </c>
      <c r="R84" s="74" t="str">
        <f t="shared" si="16"/>
      </c>
      <c r="S84" s="75" t="str">
        <f t="shared" si="17"/>
      </c>
      <c r="T84" s="70"/>
      <c r="U84" s="71"/>
      <c r="V84" s="72"/>
      <c r="W84" s="77" t="str">
        <f t="shared" si="18"/>
      </c>
      <c r="X84" s="74" t="str">
        <f t="shared" si="19"/>
      </c>
      <c r="Y84" s="75" t="str">
        <f t="shared" si="20"/>
      </c>
      <c r="Z84" s="78" t="str">
        <f t="shared" si="21"/>
      </c>
      <c r="AA84" s="79" t="str">
        <f t="shared" si="22"/>
      </c>
      <c r="AB84" s="80" t="str">
        <f t="shared" si="23"/>
      </c>
      <c r="AC84" s="81" t="str">
        <f t="array" ref="AC84">IF(AB84="","",IFERROR(INDEX(HELPER!$D$8:$D$48,IF(AB84&gt;=HELPER!$B$8,1,MATCH(AB84,HELPER!$B$8:$B$48,-1)+1)),""))</f>
      </c>
      <c r="AD84" s="82" t="str">
        <f>IF(AC84="","",IFERROR(VLOOKUP(AC84,HELPER!$F$8:$G$48,2,FALSE),""))</f>
      </c>
      <c r="AE84" s="3"/>
      <c r="AF84" s="4"/>
    </row>
    <row r="85" spans="1:32" ht="15" customHeight="1" x14ac:dyDescent="0.15">
      <c r="A85" s="3"/>
      <c r="B85" s="125">
        <v>17</v>
      </c>
      <c r="C85" s="181" t="str">
        <f>IF('INPUT DATA'!N27="","",'INPUT DATA'!N27)</f>
      </c>
      <c r="D85" s="182"/>
      <c r="E85" s="183"/>
      <c r="F85" s="70"/>
      <c r="G85" s="71"/>
      <c r="H85" s="71"/>
      <c r="I85" s="71"/>
      <c r="J85" s="72"/>
      <c r="K85" s="73" t="str">
        <f t="shared" si="12"/>
      </c>
      <c r="L85" s="74" t="str">
        <f t="shared" si="13"/>
      </c>
      <c r="M85" s="75" t="str">
        <f t="shared" si="14"/>
      </c>
      <c r="N85" s="70"/>
      <c r="O85" s="71"/>
      <c r="P85" s="72"/>
      <c r="Q85" s="73" t="str">
        <f t="shared" si="15"/>
      </c>
      <c r="R85" s="74" t="str">
        <f t="shared" si="16"/>
      </c>
      <c r="S85" s="75" t="str">
        <f t="shared" si="17"/>
      </c>
      <c r="T85" s="70"/>
      <c r="U85" s="71"/>
      <c r="V85" s="72"/>
      <c r="W85" s="77" t="str">
        <f t="shared" si="18"/>
      </c>
      <c r="X85" s="74" t="str">
        <f t="shared" si="19"/>
      </c>
      <c r="Y85" s="75" t="str">
        <f t="shared" si="20"/>
      </c>
      <c r="Z85" s="78" t="str">
        <f t="shared" si="21"/>
      </c>
      <c r="AA85" s="79" t="str">
        <f t="shared" si="22"/>
      </c>
      <c r="AB85" s="80" t="str">
        <f t="shared" si="23"/>
      </c>
      <c r="AC85" s="81" t="str">
        <f t="array" ref="AC85">IF(AB85="","",IFERROR(INDEX(HELPER!$D$8:$D$48,IF(AB85&gt;=HELPER!$B$8,1,MATCH(AB85,HELPER!$B$8:$B$48,-1)+1)),""))</f>
      </c>
      <c r="AD85" s="82" t="str">
        <f>IF(AC85="","",IFERROR(VLOOKUP(AC85,HELPER!$F$8:$G$48,2,FALSE),""))</f>
      </c>
      <c r="AE85" s="3"/>
      <c r="AF85" s="4"/>
    </row>
    <row r="86" spans="1:32" ht="15" customHeight="1" x14ac:dyDescent="0.15">
      <c r="A86" s="3"/>
      <c r="B86" s="125">
        <v>18</v>
      </c>
      <c r="C86" s="181" t="str">
        <f>IF('INPUT DATA'!N28="","",'INPUT DATA'!N28)</f>
      </c>
      <c r="D86" s="182"/>
      <c r="E86" s="183"/>
      <c r="F86" s="70"/>
      <c r="G86" s="71"/>
      <c r="H86" s="71"/>
      <c r="I86" s="71"/>
      <c r="J86" s="72"/>
      <c r="K86" s="73" t="str">
        <f t="shared" si="12"/>
      </c>
      <c r="L86" s="74" t="str">
        <f t="shared" si="13"/>
      </c>
      <c r="M86" s="75" t="str">
        <f t="shared" si="14"/>
      </c>
      <c r="N86" s="70"/>
      <c r="O86" s="71"/>
      <c r="P86" s="72"/>
      <c r="Q86" s="73" t="str">
        <f t="shared" si="15"/>
      </c>
      <c r="R86" s="74" t="str">
        <f t="shared" si="16"/>
      </c>
      <c r="S86" s="75" t="str">
        <f t="shared" si="17"/>
      </c>
      <c r="T86" s="70"/>
      <c r="U86" s="71"/>
      <c r="V86" s="72"/>
      <c r="W86" s="77" t="str">
        <f t="shared" si="18"/>
      </c>
      <c r="X86" s="74" t="str">
        <f t="shared" si="19"/>
      </c>
      <c r="Y86" s="75" t="str">
        <f t="shared" si="20"/>
      </c>
      <c r="Z86" s="78" t="str">
        <f t="shared" si="21"/>
      </c>
      <c r="AA86" s="79" t="str">
        <f t="shared" si="22"/>
      </c>
      <c r="AB86" s="80" t="str">
        <f t="shared" si="23"/>
      </c>
      <c r="AC86" s="81" t="str">
        <f t="array" ref="AC86">IF(AB86="","",IFERROR(INDEX(HELPER!$D$8:$D$48,IF(AB86&gt;=HELPER!$B$8,1,MATCH(AB86,HELPER!$B$8:$B$48,-1)+1)),""))</f>
      </c>
      <c r="AD86" s="82" t="str">
        <f>IF(AC86="","",IFERROR(VLOOKUP(AC86,HELPER!$F$8:$G$48,2,FALSE),""))</f>
      </c>
      <c r="AE86" s="3"/>
      <c r="AF86" s="4"/>
    </row>
    <row r="87" spans="1:32" ht="15" customHeight="1" x14ac:dyDescent="0.15">
      <c r="A87" s="3"/>
      <c r="B87" s="125">
        <v>19</v>
      </c>
      <c r="C87" s="181" t="str">
        <f>IF('INPUT DATA'!N29="","",'INPUT DATA'!N29)</f>
      </c>
      <c r="D87" s="182"/>
      <c r="E87" s="183"/>
      <c r="F87" s="70"/>
      <c r="G87" s="71"/>
      <c r="H87" s="71"/>
      <c r="I87" s="71"/>
      <c r="J87" s="72"/>
      <c r="K87" s="73" t="str">
        <f t="shared" si="12"/>
      </c>
      <c r="L87" s="74" t="str">
        <f t="shared" si="13"/>
      </c>
      <c r="M87" s="75" t="str">
        <f t="shared" si="14"/>
      </c>
      <c r="N87" s="70"/>
      <c r="O87" s="71"/>
      <c r="P87" s="72"/>
      <c r="Q87" s="73" t="str">
        <f t="shared" si="15"/>
      </c>
      <c r="R87" s="74" t="str">
        <f t="shared" si="16"/>
      </c>
      <c r="S87" s="75" t="str">
        <f t="shared" si="17"/>
      </c>
      <c r="T87" s="70"/>
      <c r="U87" s="71"/>
      <c r="V87" s="72"/>
      <c r="W87" s="77" t="str">
        <f t="shared" si="18"/>
      </c>
      <c r="X87" s="74" t="str">
        <f t="shared" si="19"/>
      </c>
      <c r="Y87" s="75" t="str">
        <f t="shared" si="20"/>
      </c>
      <c r="Z87" s="78" t="str">
        <f t="shared" si="21"/>
      </c>
      <c r="AA87" s="79" t="str">
        <f t="shared" si="22"/>
      </c>
      <c r="AB87" s="80" t="str">
        <f t="shared" si="23"/>
      </c>
      <c r="AC87" s="81" t="str">
        <f t="array" ref="AC87">IF(AB87="","",IFERROR(INDEX(HELPER!$D$8:$D$48,IF(AB87&gt;=HELPER!$B$8,1,MATCH(AB87,HELPER!$B$8:$B$48,-1)+1)),""))</f>
      </c>
      <c r="AD87" s="82" t="str">
        <f>IF(AC87="","",IFERROR(VLOOKUP(AC87,HELPER!$F$8:$G$48,2,FALSE),""))</f>
      </c>
      <c r="AE87" s="3"/>
      <c r="AF87" s="4"/>
    </row>
    <row r="88" spans="1:32" ht="15" customHeight="1" x14ac:dyDescent="0.15">
      <c r="A88" s="3"/>
      <c r="B88" s="132">
        <v>20</v>
      </c>
      <c r="C88" s="181" t="str">
        <f>IF('INPUT DATA'!N30="","",'INPUT DATA'!N30)</f>
      </c>
      <c r="D88" s="182"/>
      <c r="E88" s="183"/>
      <c r="F88" s="70"/>
      <c r="G88" s="71"/>
      <c r="H88" s="71"/>
      <c r="I88" s="71"/>
      <c r="J88" s="72"/>
      <c r="K88" s="73" t="str">
        <f t="shared" si="12"/>
      </c>
      <c r="L88" s="74" t="str">
        <f t="shared" si="13"/>
      </c>
      <c r="M88" s="75" t="str">
        <f t="shared" si="14"/>
      </c>
      <c r="N88" s="70"/>
      <c r="O88" s="71"/>
      <c r="P88" s="72"/>
      <c r="Q88" s="73" t="str">
        <f t="shared" si="15"/>
      </c>
      <c r="R88" s="74" t="str">
        <f t="shared" si="16"/>
      </c>
      <c r="S88" s="75" t="str">
        <f t="shared" si="17"/>
      </c>
      <c r="T88" s="70"/>
      <c r="U88" s="71"/>
      <c r="V88" s="72"/>
      <c r="W88" s="77" t="str">
        <f t="shared" si="18"/>
      </c>
      <c r="X88" s="74" t="str">
        <f t="shared" si="19"/>
      </c>
      <c r="Y88" s="75" t="str">
        <f t="shared" si="20"/>
      </c>
      <c r="Z88" s="78" t="str">
        <f t="shared" si="21"/>
      </c>
      <c r="AA88" s="79" t="str">
        <f t="shared" si="22"/>
      </c>
      <c r="AB88" s="80" t="str">
        <f t="shared" si="23"/>
      </c>
      <c r="AC88" s="81" t="str">
        <f t="array" ref="AC88">IF(AB88="","",IFERROR(INDEX(HELPER!$D$8:$D$48,IF(AB88&gt;=HELPER!$B$8,1,MATCH(AB88,HELPER!$B$8:$B$48,-1)+1)),""))</f>
      </c>
      <c r="AD88" s="82" t="str">
        <f>IF(AC88="","",IFERROR(VLOOKUP(AC88,HELPER!$F$8:$G$48,2,FALSE),""))</f>
      </c>
      <c r="AE88" s="3"/>
      <c r="AF88" s="4"/>
    </row>
    <row r="89" spans="1:32" ht="15" customHeight="1" x14ac:dyDescent="0.15">
      <c r="A89" s="3"/>
      <c r="B89" s="132">
        <v>21</v>
      </c>
      <c r="C89" s="181" t="str">
        <f>IF('INPUT DATA'!N31="","",'INPUT DATA'!N31)</f>
      </c>
      <c r="D89" s="182"/>
      <c r="E89" s="183"/>
      <c r="F89" s="70"/>
      <c r="G89" s="71"/>
      <c r="H89" s="71"/>
      <c r="I89" s="71"/>
      <c r="J89" s="72"/>
      <c r="K89" s="73" t="str">
        <f t="shared" si="12"/>
      </c>
      <c r="L89" s="74" t="str">
        <f t="shared" si="13"/>
      </c>
      <c r="M89" s="75" t="str">
        <f t="shared" si="14"/>
      </c>
      <c r="N89" s="70"/>
      <c r="O89" s="71"/>
      <c r="P89" s="72"/>
      <c r="Q89" s="73" t="str">
        <f t="shared" si="15"/>
      </c>
      <c r="R89" s="74" t="str">
        <f t="shared" si="16"/>
      </c>
      <c r="S89" s="75" t="str">
        <f t="shared" si="17"/>
      </c>
      <c r="T89" s="70"/>
      <c r="U89" s="71"/>
      <c r="V89" s="72"/>
      <c r="W89" s="77" t="str">
        <f t="shared" si="18"/>
      </c>
      <c r="X89" s="74" t="str">
        <f t="shared" si="19"/>
      </c>
      <c r="Y89" s="75" t="str">
        <f t="shared" si="20"/>
      </c>
      <c r="Z89" s="78" t="str">
        <f t="shared" si="21"/>
      </c>
      <c r="AA89" s="79" t="str">
        <f t="shared" si="22"/>
      </c>
      <c r="AB89" s="80" t="str">
        <f t="shared" si="23"/>
      </c>
      <c r="AC89" s="81" t="str">
        <f t="array" ref="AC89">IF(AB89="","",IFERROR(INDEX(HELPER!$D$8:$D$48,IF(AB89&gt;=HELPER!$B$8,1,MATCH(AB89,HELPER!$B$8:$B$48,-1)+1)),""))</f>
      </c>
      <c r="AD89" s="82" t="str">
        <f>IF(AC89="","",IFERROR(VLOOKUP(AC89,HELPER!$F$8:$G$48,2,FALSE),""))</f>
      </c>
      <c r="AE89" s="3"/>
      <c r="AF89" s="4"/>
    </row>
    <row r="90" spans="1:32" ht="15" customHeight="1" x14ac:dyDescent="0.15">
      <c r="A90" s="3"/>
      <c r="B90" s="132">
        <v>22</v>
      </c>
      <c r="C90" s="181" t="str">
        <f>IF('INPUT DATA'!N32="","",'INPUT DATA'!N32)</f>
      </c>
      <c r="D90" s="182"/>
      <c r="E90" s="183"/>
      <c r="F90" s="70"/>
      <c r="G90" s="71"/>
      <c r="H90" s="71"/>
      <c r="I90" s="71"/>
      <c r="J90" s="72"/>
      <c r="K90" s="73" t="str">
        <f t="shared" si="12"/>
      </c>
      <c r="L90" s="74" t="str">
        <f t="shared" si="13"/>
      </c>
      <c r="M90" s="75" t="str">
        <f t="shared" si="14"/>
      </c>
      <c r="N90" s="70"/>
      <c r="O90" s="71"/>
      <c r="P90" s="72"/>
      <c r="Q90" s="73" t="str">
        <f t="shared" si="15"/>
      </c>
      <c r="R90" s="74" t="str">
        <f t="shared" si="16"/>
      </c>
      <c r="S90" s="75" t="str">
        <f t="shared" si="17"/>
      </c>
      <c r="T90" s="70"/>
      <c r="U90" s="71"/>
      <c r="V90" s="72"/>
      <c r="W90" s="77" t="str">
        <f t="shared" si="18"/>
      </c>
      <c r="X90" s="74" t="str">
        <f t="shared" si="19"/>
      </c>
      <c r="Y90" s="75" t="str">
        <f t="shared" si="20"/>
      </c>
      <c r="Z90" s="78" t="str">
        <f t="shared" si="21"/>
      </c>
      <c r="AA90" s="79" t="str">
        <f t="shared" si="22"/>
      </c>
      <c r="AB90" s="80" t="str">
        <f t="shared" si="23"/>
      </c>
      <c r="AC90" s="81" t="str">
        <f t="array" ref="AC90">IF(AB90="","",IFERROR(INDEX(HELPER!$D$8:$D$48,IF(AB90&gt;=HELPER!$B$8,1,MATCH(AB90,HELPER!$B$8:$B$48,-1)+1)),""))</f>
      </c>
      <c r="AD90" s="82" t="str">
        <f>IF(AC90="","",IFERROR(VLOOKUP(AC90,HELPER!$F$8:$G$48,2,FALSE),""))</f>
      </c>
      <c r="AE90" s="3"/>
      <c r="AF90" s="4"/>
    </row>
    <row r="91" spans="1:32" ht="15" customHeight="1" x14ac:dyDescent="0.15">
      <c r="A91" s="3"/>
      <c r="B91" s="132">
        <v>23</v>
      </c>
      <c r="C91" s="181" t="str">
        <f>IF('INPUT DATA'!N33="","",'INPUT DATA'!N33)</f>
      </c>
      <c r="D91" s="182"/>
      <c r="E91" s="183"/>
      <c r="F91" s="70"/>
      <c r="G91" s="71"/>
      <c r="H91" s="71"/>
      <c r="I91" s="71"/>
      <c r="J91" s="72"/>
      <c r="K91" s="73" t="str">
        <f t="shared" si="12"/>
      </c>
      <c r="L91" s="74" t="str">
        <f t="shared" si="13"/>
      </c>
      <c r="M91" s="75" t="str">
        <f t="shared" si="14"/>
      </c>
      <c r="N91" s="70"/>
      <c r="O91" s="71"/>
      <c r="P91" s="72"/>
      <c r="Q91" s="73" t="str">
        <f t="shared" si="15"/>
      </c>
      <c r="R91" s="74" t="str">
        <f t="shared" si="16"/>
      </c>
      <c r="S91" s="75" t="str">
        <f t="shared" si="17"/>
      </c>
      <c r="T91" s="70"/>
      <c r="U91" s="71"/>
      <c r="V91" s="72"/>
      <c r="W91" s="77" t="str">
        <f t="shared" si="18"/>
      </c>
      <c r="X91" s="74" t="str">
        <f t="shared" si="19"/>
      </c>
      <c r="Y91" s="75" t="str">
        <f t="shared" si="20"/>
      </c>
      <c r="Z91" s="78" t="str">
        <f t="shared" si="21"/>
      </c>
      <c r="AA91" s="79" t="str">
        <f t="shared" si="22"/>
      </c>
      <c r="AB91" s="80" t="str">
        <f t="shared" si="23"/>
      </c>
      <c r="AC91" s="81" t="str">
        <f t="array" ref="AC91">IF(AB91="","",IFERROR(INDEX(HELPER!$D$8:$D$48,IF(AB91&gt;=HELPER!$B$8,1,MATCH(AB91,HELPER!$B$8:$B$48,-1)+1)),""))</f>
      </c>
      <c r="AD91" s="82" t="str">
        <f>IF(AC91="","",IFERROR(VLOOKUP(AC91,HELPER!$F$8:$G$48,2,FALSE),""))</f>
      </c>
      <c r="AE91" s="3"/>
      <c r="AF91" s="4"/>
    </row>
    <row r="92" spans="1:32" ht="15" customHeight="1" x14ac:dyDescent="0.15">
      <c r="A92" s="3"/>
      <c r="B92" s="132">
        <v>24</v>
      </c>
      <c r="C92" s="181" t="str">
        <f>IF('INPUT DATA'!N34="","",'INPUT DATA'!N34)</f>
      </c>
      <c r="D92" s="182"/>
      <c r="E92" s="183"/>
      <c r="F92" s="70"/>
      <c r="G92" s="71"/>
      <c r="H92" s="71"/>
      <c r="I92" s="71"/>
      <c r="J92" s="72"/>
      <c r="K92" s="73" t="str">
        <f t="shared" si="12"/>
      </c>
      <c r="L92" s="74" t="str">
        <f t="shared" si="13"/>
      </c>
      <c r="M92" s="75" t="str">
        <f t="shared" si="14"/>
      </c>
      <c r="N92" s="70"/>
      <c r="O92" s="71"/>
      <c r="P92" s="72"/>
      <c r="Q92" s="73" t="str">
        <f t="shared" si="15"/>
      </c>
      <c r="R92" s="74" t="str">
        <f t="shared" si="16"/>
      </c>
      <c r="S92" s="75" t="str">
        <f t="shared" si="17"/>
      </c>
      <c r="T92" s="70"/>
      <c r="U92" s="71"/>
      <c r="V92" s="72"/>
      <c r="W92" s="77" t="str">
        <f t="shared" si="18"/>
      </c>
      <c r="X92" s="74" t="str">
        <f t="shared" si="19"/>
      </c>
      <c r="Y92" s="75" t="str">
        <f t="shared" si="20"/>
      </c>
      <c r="Z92" s="78" t="str">
        <f t="shared" si="21"/>
      </c>
      <c r="AA92" s="79" t="str">
        <f t="shared" si="22"/>
      </c>
      <c r="AB92" s="80" t="str">
        <f t="shared" si="23"/>
      </c>
      <c r="AC92" s="81" t="str">
        <f t="array" ref="AC92">IF(AB92="","",IFERROR(INDEX(HELPER!$D$8:$D$48,IF(AB92&gt;=HELPER!$B$8,1,MATCH(AB92,HELPER!$B$8:$B$48,-1)+1)),""))</f>
      </c>
      <c r="AD92" s="82" t="str">
        <f>IF(AC92="","",IFERROR(VLOOKUP(AC92,HELPER!$F$8:$G$48,2,FALSE),""))</f>
      </c>
      <c r="AE92" s="3"/>
      <c r="AF92" s="4"/>
    </row>
    <row r="93" spans="1:32" ht="15" customHeight="1" x14ac:dyDescent="0.15">
      <c r="A93" s="3"/>
      <c r="B93" s="132">
        <v>25</v>
      </c>
      <c r="C93" s="181" t="str">
        <f>IF('INPUT DATA'!N35="","",'INPUT DATA'!N35)</f>
      </c>
      <c r="D93" s="182"/>
      <c r="E93" s="183"/>
      <c r="F93" s="70"/>
      <c r="G93" s="71"/>
      <c r="H93" s="71"/>
      <c r="I93" s="71"/>
      <c r="J93" s="72"/>
      <c r="K93" s="73" t="str">
        <f t="shared" si="12"/>
      </c>
      <c r="L93" s="74" t="str">
        <f t="shared" si="13"/>
      </c>
      <c r="M93" s="75" t="str">
        <f t="shared" si="14"/>
      </c>
      <c r="N93" s="70"/>
      <c r="O93" s="71"/>
      <c r="P93" s="72"/>
      <c r="Q93" s="73" t="str">
        <f t="shared" si="15"/>
      </c>
      <c r="R93" s="74" t="str">
        <f t="shared" si="16"/>
      </c>
      <c r="S93" s="75" t="str">
        <f t="shared" si="17"/>
      </c>
      <c r="T93" s="70"/>
      <c r="U93" s="71"/>
      <c r="V93" s="72"/>
      <c r="W93" s="77" t="str">
        <f t="shared" si="18"/>
      </c>
      <c r="X93" s="74" t="str">
        <f t="shared" si="19"/>
      </c>
      <c r="Y93" s="75" t="str">
        <f t="shared" si="20"/>
      </c>
      <c r="Z93" s="78" t="str">
        <f t="shared" si="21"/>
      </c>
      <c r="AA93" s="79" t="str">
        <f t="shared" si="22"/>
      </c>
      <c r="AB93" s="80" t="str">
        <f t="shared" si="23"/>
      </c>
      <c r="AC93" s="81" t="str">
        <f t="array" ref="AC93">IF(AB93="","",IFERROR(INDEX(HELPER!$D$8:$D$48,IF(AB93&gt;=HELPER!$B$8,1,MATCH(AB93,HELPER!$B$8:$B$48,-1)+1)),""))</f>
      </c>
      <c r="AD93" s="82" t="str">
        <f>IF(AC93="","",IFERROR(VLOOKUP(AC93,HELPER!$F$8:$G$48,2,FALSE),""))</f>
      </c>
      <c r="AE93" s="3"/>
      <c r="AF93" s="4"/>
    </row>
    <row r="94" spans="1:32" ht="15" customHeight="1" x14ac:dyDescent="0.15">
      <c r="A94" s="3"/>
      <c r="B94" s="132">
        <v>26</v>
      </c>
      <c r="C94" s="181" t="str">
        <f>IF('INPUT DATA'!N36="","",'INPUT DATA'!N36)</f>
      </c>
      <c r="D94" s="182"/>
      <c r="E94" s="183"/>
      <c r="F94" s="70"/>
      <c r="G94" s="71"/>
      <c r="H94" s="71"/>
      <c r="I94" s="71"/>
      <c r="J94" s="72"/>
      <c r="K94" s="73" t="str">
        <f t="shared" si="12"/>
      </c>
      <c r="L94" s="74" t="str">
        <f t="shared" si="13"/>
      </c>
      <c r="M94" s="75" t="str">
        <f t="shared" si="14"/>
      </c>
      <c r="N94" s="70"/>
      <c r="O94" s="71"/>
      <c r="P94" s="72"/>
      <c r="Q94" s="73" t="str">
        <f t="shared" si="15"/>
      </c>
      <c r="R94" s="74" t="str">
        <f t="shared" si="16"/>
      </c>
      <c r="S94" s="75" t="str">
        <f t="shared" si="17"/>
      </c>
      <c r="T94" s="70"/>
      <c r="U94" s="71"/>
      <c r="V94" s="72"/>
      <c r="W94" s="77" t="str">
        <f t="shared" si="18"/>
      </c>
      <c r="X94" s="74" t="str">
        <f t="shared" si="19"/>
      </c>
      <c r="Y94" s="75" t="str">
        <f t="shared" si="20"/>
      </c>
      <c r="Z94" s="78" t="str">
        <f t="shared" si="21"/>
      </c>
      <c r="AA94" s="79" t="str">
        <f t="shared" si="22"/>
      </c>
      <c r="AB94" s="80" t="str">
        <f t="shared" si="23"/>
      </c>
      <c r="AC94" s="81" t="str">
        <f t="array" ref="AC94">IF(AB94="","",IFERROR(INDEX(HELPER!$D$8:$D$48,IF(AB94&gt;=HELPER!$B$8,1,MATCH(AB94,HELPER!$B$8:$B$48,-1)+1)),""))</f>
      </c>
      <c r="AD94" s="82" t="str">
        <f>IF(AC94="","",IFERROR(VLOOKUP(AC94,HELPER!$F$8:$G$48,2,FALSE),""))</f>
      </c>
      <c r="AE94" s="3"/>
      <c r="AF94" s="4"/>
    </row>
    <row r="95" spans="1:32" ht="15" customHeight="1" x14ac:dyDescent="0.15">
      <c r="A95" s="3"/>
      <c r="B95" s="132">
        <v>27</v>
      </c>
      <c r="C95" s="181" t="str">
        <f>IF('INPUT DATA'!N37="","",'INPUT DATA'!N37)</f>
      </c>
      <c r="D95" s="182"/>
      <c r="E95" s="183"/>
      <c r="F95" s="70"/>
      <c r="G95" s="71"/>
      <c r="H95" s="71"/>
      <c r="I95" s="71"/>
      <c r="J95" s="72"/>
      <c r="K95" s="73" t="str">
        <f t="shared" si="12"/>
      </c>
      <c r="L95" s="74" t="str">
        <f t="shared" si="13"/>
      </c>
      <c r="M95" s="75" t="str">
        <f t="shared" si="14"/>
      </c>
      <c r="N95" s="70"/>
      <c r="O95" s="71"/>
      <c r="P95" s="72"/>
      <c r="Q95" s="73" t="str">
        <f t="shared" si="15"/>
      </c>
      <c r="R95" s="74" t="str">
        <f t="shared" si="16"/>
      </c>
      <c r="S95" s="75" t="str">
        <f t="shared" si="17"/>
      </c>
      <c r="T95" s="70"/>
      <c r="U95" s="71"/>
      <c r="V95" s="72"/>
      <c r="W95" s="77" t="str">
        <f t="shared" si="18"/>
      </c>
      <c r="X95" s="74" t="str">
        <f t="shared" si="19"/>
      </c>
      <c r="Y95" s="75" t="str">
        <f t="shared" si="20"/>
      </c>
      <c r="Z95" s="78" t="str">
        <f t="shared" si="21"/>
      </c>
      <c r="AA95" s="79" t="str">
        <f t="shared" si="22"/>
      </c>
      <c r="AB95" s="80" t="str">
        <f t="shared" si="23"/>
      </c>
      <c r="AC95" s="81" t="str">
        <f t="array" ref="AC95">IF(AB95="","",IFERROR(INDEX(HELPER!$D$8:$D$48,IF(AB95&gt;=HELPER!$B$8,1,MATCH(AB95,HELPER!$B$8:$B$48,-1)+1)),""))</f>
      </c>
      <c r="AD95" s="82" t="str">
        <f>IF(AC95="","",IFERROR(VLOOKUP(AC95,HELPER!$F$8:$G$48,2,FALSE),""))</f>
      </c>
      <c r="AE95" s="3"/>
      <c r="AF95" s="4"/>
    </row>
    <row r="96" spans="1:32" ht="15" customHeight="1" x14ac:dyDescent="0.15">
      <c r="A96" s="3"/>
      <c r="B96" s="132">
        <v>28</v>
      </c>
      <c r="C96" s="181" t="str">
        <f>IF('INPUT DATA'!N38="","",'INPUT DATA'!N38)</f>
      </c>
      <c r="D96" s="182"/>
      <c r="E96" s="183"/>
      <c r="F96" s="70"/>
      <c r="G96" s="71"/>
      <c r="H96" s="71"/>
      <c r="I96" s="71"/>
      <c r="J96" s="72"/>
      <c r="K96" s="73" t="str">
        <f t="shared" si="12"/>
      </c>
      <c r="L96" s="74" t="str">
        <f t="shared" si="13"/>
      </c>
      <c r="M96" s="75" t="str">
        <f t="shared" si="14"/>
      </c>
      <c r="N96" s="70"/>
      <c r="O96" s="71"/>
      <c r="P96" s="72"/>
      <c r="Q96" s="73" t="str">
        <f t="shared" si="15"/>
      </c>
      <c r="R96" s="74" t="str">
        <f t="shared" si="16"/>
      </c>
      <c r="S96" s="75" t="str">
        <f t="shared" si="17"/>
      </c>
      <c r="T96" s="70"/>
      <c r="U96" s="71"/>
      <c r="V96" s="72"/>
      <c r="W96" s="77" t="str">
        <f t="shared" si="18"/>
      </c>
      <c r="X96" s="74" t="str">
        <f t="shared" si="19"/>
      </c>
      <c r="Y96" s="75" t="str">
        <f t="shared" si="20"/>
      </c>
      <c r="Z96" s="78" t="str">
        <f t="shared" si="21"/>
      </c>
      <c r="AA96" s="79" t="str">
        <f t="shared" si="22"/>
      </c>
      <c r="AB96" s="80" t="str">
        <f t="shared" si="23"/>
      </c>
      <c r="AC96" s="81" t="str">
        <f t="array" ref="AC96">IF(AB96="","",IFERROR(INDEX(HELPER!$D$8:$D$48,IF(AB96&gt;=HELPER!$B$8,1,MATCH(AB96,HELPER!$B$8:$B$48,-1)+1)),""))</f>
      </c>
      <c r="AD96" s="82" t="str">
        <f>IF(AC96="","",IFERROR(VLOOKUP(AC96,HELPER!$F$8:$G$48,2,FALSE),""))</f>
      </c>
      <c r="AE96" s="3"/>
      <c r="AF96" s="4"/>
    </row>
    <row r="97" spans="1:32" ht="15" customHeight="1" x14ac:dyDescent="0.15">
      <c r="A97" s="3"/>
      <c r="B97" s="132">
        <v>29</v>
      </c>
      <c r="C97" s="181" t="str">
        <f>IF('INPUT DATA'!N39="","",'INPUT DATA'!N39)</f>
      </c>
      <c r="D97" s="182"/>
      <c r="E97" s="183"/>
      <c r="F97" s="70"/>
      <c r="G97" s="71"/>
      <c r="H97" s="71"/>
      <c r="I97" s="71"/>
      <c r="J97" s="72"/>
      <c r="K97" s="73" t="str">
        <f t="shared" si="12"/>
      </c>
      <c r="L97" s="74" t="str">
        <f t="shared" si="13"/>
      </c>
      <c r="M97" s="75" t="str">
        <f t="shared" si="14"/>
      </c>
      <c r="N97" s="70"/>
      <c r="O97" s="71"/>
      <c r="P97" s="72"/>
      <c r="Q97" s="73" t="str">
        <f t="shared" si="15"/>
      </c>
      <c r="R97" s="74" t="str">
        <f t="shared" si="16"/>
      </c>
      <c r="S97" s="75" t="str">
        <f t="shared" si="17"/>
      </c>
      <c r="T97" s="70"/>
      <c r="U97" s="71"/>
      <c r="V97" s="72"/>
      <c r="W97" s="77" t="str">
        <f t="shared" si="18"/>
      </c>
      <c r="X97" s="74" t="str">
        <f t="shared" si="19"/>
      </c>
      <c r="Y97" s="75" t="str">
        <f t="shared" si="20"/>
      </c>
      <c r="Z97" s="78" t="str">
        <f t="shared" si="21"/>
      </c>
      <c r="AA97" s="79" t="str">
        <f t="shared" si="22"/>
      </c>
      <c r="AB97" s="80" t="str">
        <f t="shared" si="23"/>
      </c>
      <c r="AC97" s="81" t="str">
        <f t="array" ref="AC97">IF(AB97="","",IFERROR(INDEX(HELPER!$D$8:$D$48,IF(AB97&gt;=HELPER!$B$8,1,MATCH(AB97,HELPER!$B$8:$B$48,-1)+1)),""))</f>
      </c>
      <c r="AD97" s="82" t="str">
        <f>IF(AC97="","",IFERROR(VLOOKUP(AC97,HELPER!$F$8:$G$48,2,FALSE),""))</f>
      </c>
      <c r="AE97" s="3"/>
      <c r="AF97" s="4"/>
    </row>
    <row r="98" spans="1:32" ht="15" customHeight="1" x14ac:dyDescent="0.15">
      <c r="A98" s="3"/>
      <c r="B98" s="132">
        <v>30</v>
      </c>
      <c r="C98" s="181" t="str">
        <f>IF('INPUT DATA'!N40="","",'INPUT DATA'!N40)</f>
      </c>
      <c r="D98" s="182"/>
      <c r="E98" s="183"/>
      <c r="F98" s="70"/>
      <c r="G98" s="71"/>
      <c r="H98" s="71"/>
      <c r="I98" s="71"/>
      <c r="J98" s="72"/>
      <c r="K98" s="73" t="str">
        <f t="shared" si="12"/>
      </c>
      <c r="L98" s="74" t="str">
        <f t="shared" si="13"/>
      </c>
      <c r="M98" s="75" t="str">
        <f t="shared" si="14"/>
      </c>
      <c r="N98" s="70"/>
      <c r="O98" s="71"/>
      <c r="P98" s="72"/>
      <c r="Q98" s="73" t="str">
        <f t="shared" si="15"/>
      </c>
      <c r="R98" s="74" t="str">
        <f t="shared" si="16"/>
      </c>
      <c r="S98" s="75" t="str">
        <f t="shared" si="17"/>
      </c>
      <c r="T98" s="70"/>
      <c r="U98" s="71"/>
      <c r="V98" s="72"/>
      <c r="W98" s="77" t="str">
        <f t="shared" si="18"/>
      </c>
      <c r="X98" s="74" t="str">
        <f t="shared" si="19"/>
      </c>
      <c r="Y98" s="75" t="str">
        <f t="shared" si="20"/>
      </c>
      <c r="Z98" s="78" t="str">
        <f t="shared" si="21"/>
      </c>
      <c r="AA98" s="79" t="str">
        <f t="shared" si="22"/>
      </c>
      <c r="AB98" s="80" t="str">
        <f t="shared" si="23"/>
      </c>
      <c r="AC98" s="81" t="str">
        <f t="array" ref="AC98">IF(AB98="","",IFERROR(INDEX(HELPER!$D$8:$D$48,IF(AB98&gt;=HELPER!$B$8,1,MATCH(AB98,HELPER!$B$8:$B$48,-1)+1)),""))</f>
      </c>
      <c r="AD98" s="82" t="str">
        <f>IF(AC98="","",IFERROR(VLOOKUP(AC98,HELPER!$F$8:$G$48,2,FALSE),""))</f>
      </c>
      <c r="AE98" s="3"/>
      <c r="AF98" s="4"/>
    </row>
    <row r="99" spans="1:32" ht="15" customHeight="1" x14ac:dyDescent="0.15">
      <c r="A99" s="3"/>
      <c r="B99" s="132">
        <v>31</v>
      </c>
      <c r="C99" s="181" t="str">
        <f>IF('INPUT DATA'!N41="","",'INPUT DATA'!N41)</f>
      </c>
      <c r="D99" s="182"/>
      <c r="E99" s="183"/>
      <c r="F99" s="70"/>
      <c r="G99" s="71"/>
      <c r="H99" s="71"/>
      <c r="I99" s="71"/>
      <c r="J99" s="72"/>
      <c r="K99" s="73" t="str">
        <f t="shared" si="12"/>
      </c>
      <c r="L99" s="74" t="str">
        <f t="shared" si="13"/>
      </c>
      <c r="M99" s="75" t="str">
        <f t="shared" si="14"/>
      </c>
      <c r="N99" s="70"/>
      <c r="O99" s="71"/>
      <c r="P99" s="72"/>
      <c r="Q99" s="73" t="str">
        <f t="shared" si="15"/>
      </c>
      <c r="R99" s="74" t="str">
        <f t="shared" si="16"/>
      </c>
      <c r="S99" s="75" t="str">
        <f t="shared" si="17"/>
      </c>
      <c r="T99" s="70"/>
      <c r="U99" s="71"/>
      <c r="V99" s="72"/>
      <c r="W99" s="77" t="str">
        <f t="shared" si="18"/>
      </c>
      <c r="X99" s="74" t="str">
        <f t="shared" si="19"/>
      </c>
      <c r="Y99" s="75" t="str">
        <f t="shared" si="20"/>
      </c>
      <c r="Z99" s="78" t="str">
        <f t="shared" si="21"/>
      </c>
      <c r="AA99" s="79" t="str">
        <f t="shared" si="22"/>
      </c>
      <c r="AB99" s="80" t="str">
        <f t="shared" si="23"/>
      </c>
      <c r="AC99" s="81" t="str">
        <f t="array" ref="AC99">IF(AB99="","",IFERROR(INDEX(HELPER!$D$8:$D$48,IF(AB99&gt;=HELPER!$B$8,1,MATCH(AB99,HELPER!$B$8:$B$48,-1)+1)),""))</f>
      </c>
      <c r="AD99" s="82" t="str">
        <f>IF(AC99="","",IFERROR(VLOOKUP(AC99,HELPER!$F$8:$G$48,2,FALSE),""))</f>
      </c>
      <c r="AE99" s="3"/>
      <c r="AF99" s="4"/>
    </row>
    <row r="100" spans="1:32" ht="15" customHeight="1" x14ac:dyDescent="0.15">
      <c r="A100" s="3"/>
      <c r="B100" s="132">
        <v>32</v>
      </c>
      <c r="C100" s="181" t="str">
        <f>IF('INPUT DATA'!N42="","",'INPUT DATA'!N42)</f>
      </c>
      <c r="D100" s="182"/>
      <c r="E100" s="183"/>
      <c r="F100" s="70"/>
      <c r="G100" s="71"/>
      <c r="H100" s="71"/>
      <c r="I100" s="71"/>
      <c r="J100" s="72"/>
      <c r="K100" s="73" t="str">
        <f t="shared" si="12"/>
      </c>
      <c r="L100" s="74" t="str">
        <f t="shared" si="13"/>
      </c>
      <c r="M100" s="75" t="str">
        <f t="shared" si="14"/>
      </c>
      <c r="N100" s="70"/>
      <c r="O100" s="71"/>
      <c r="P100" s="72"/>
      <c r="Q100" s="73" t="str">
        <f t="shared" si="15"/>
      </c>
      <c r="R100" s="74" t="str">
        <f t="shared" si="16"/>
      </c>
      <c r="S100" s="75" t="str">
        <f t="shared" si="17"/>
      </c>
      <c r="T100" s="70"/>
      <c r="U100" s="71"/>
      <c r="V100" s="72"/>
      <c r="W100" s="77" t="str">
        <f t="shared" si="18"/>
      </c>
      <c r="X100" s="74" t="str">
        <f t="shared" si="19"/>
      </c>
      <c r="Y100" s="75" t="str">
        <f t="shared" si="20"/>
      </c>
      <c r="Z100" s="78" t="str">
        <f t="shared" si="21"/>
      </c>
      <c r="AA100" s="79" t="str">
        <f t="shared" si="22"/>
      </c>
      <c r="AB100" s="80" t="str">
        <f t="shared" si="23"/>
      </c>
      <c r="AC100" s="81" t="str">
        <f t="array" ref="AC100">IF(AB100="","",IFERROR(INDEX(HELPER!$D$8:$D$48,IF(AB100&gt;=HELPER!$B$8,1,MATCH(AB100,HELPER!$B$8:$B$48,-1)+1)),""))</f>
      </c>
      <c r="AD100" s="82" t="str">
        <f>IF(AC100="","",IFERROR(VLOOKUP(AC100,HELPER!$F$8:$G$48,2,FALSE),""))</f>
      </c>
      <c r="AE100" s="3"/>
      <c r="AF100" s="4"/>
    </row>
    <row r="101" spans="1:32" ht="15" customHeight="1" x14ac:dyDescent="0.15">
      <c r="A101" s="3"/>
      <c r="B101" s="132">
        <v>33</v>
      </c>
      <c r="C101" s="181" t="str">
        <f>IF('INPUT DATA'!N43="","",'INPUT DATA'!N43)</f>
      </c>
      <c r="D101" s="182"/>
      <c r="E101" s="183"/>
      <c r="F101" s="70"/>
      <c r="G101" s="71"/>
      <c r="H101" s="71"/>
      <c r="I101" s="71"/>
      <c r="J101" s="72"/>
      <c r="K101" s="73" t="str">
        <f t="shared" si="12"/>
      </c>
      <c r="L101" s="74" t="str">
        <f t="shared" si="13"/>
      </c>
      <c r="M101" s="75" t="str">
        <f t="shared" si="14"/>
      </c>
      <c r="N101" s="70"/>
      <c r="O101" s="71"/>
      <c r="P101" s="72"/>
      <c r="Q101" s="73" t="str">
        <f t="shared" si="15"/>
      </c>
      <c r="R101" s="74" t="str">
        <f t="shared" si="16"/>
      </c>
      <c r="S101" s="75" t="str">
        <f t="shared" si="17"/>
      </c>
      <c r="T101" s="70"/>
      <c r="U101" s="71"/>
      <c r="V101" s="72"/>
      <c r="W101" s="77" t="str">
        <f t="shared" si="18"/>
      </c>
      <c r="X101" s="74" t="str">
        <f t="shared" si="19"/>
      </c>
      <c r="Y101" s="75" t="str">
        <f t="shared" si="20"/>
      </c>
      <c r="Z101" s="78" t="str">
        <f t="shared" si="21"/>
      </c>
      <c r="AA101" s="79" t="str">
        <f t="shared" si="22"/>
      </c>
      <c r="AB101" s="80" t="str">
        <f t="shared" si="23"/>
      </c>
      <c r="AC101" s="81" t="str">
        <f t="array" ref="AC101">IF(AB101="","",IFERROR(INDEX(HELPER!$D$8:$D$48,IF(AB101&gt;=HELPER!$B$8,1,MATCH(AB101,HELPER!$B$8:$B$48,-1)+1)),""))</f>
      </c>
      <c r="AD101" s="82" t="str">
        <f>IF(AC101="","",IFERROR(VLOOKUP(AC101,HELPER!$F$8:$G$48,2,FALSE),""))</f>
      </c>
      <c r="AE101" s="3"/>
      <c r="AF101" s="4"/>
    </row>
    <row r="102" spans="1:32" ht="15" customHeight="1" x14ac:dyDescent="0.15">
      <c r="A102" s="3"/>
      <c r="B102" s="132">
        <v>34</v>
      </c>
      <c r="C102" s="181" t="str">
        <f>IF('INPUT DATA'!N44="","",'INPUT DATA'!N44)</f>
      </c>
      <c r="D102" s="182"/>
      <c r="E102" s="183"/>
      <c r="F102" s="70"/>
      <c r="G102" s="71"/>
      <c r="H102" s="71"/>
      <c r="I102" s="71"/>
      <c r="J102" s="72"/>
      <c r="K102" s="73" t="str">
        <f t="shared" si="12"/>
      </c>
      <c r="L102" s="74" t="str">
        <f t="shared" si="13"/>
      </c>
      <c r="M102" s="75" t="str">
        <f t="shared" si="14"/>
      </c>
      <c r="N102" s="70"/>
      <c r="O102" s="71"/>
      <c r="P102" s="72"/>
      <c r="Q102" s="73" t="str">
        <f t="shared" si="15"/>
      </c>
      <c r="R102" s="74" t="str">
        <f t="shared" si="16"/>
      </c>
      <c r="S102" s="75" t="str">
        <f t="shared" si="17"/>
      </c>
      <c r="T102" s="70"/>
      <c r="U102" s="71"/>
      <c r="V102" s="72"/>
      <c r="W102" s="77" t="str">
        <f t="shared" si="18"/>
      </c>
      <c r="X102" s="74" t="str">
        <f t="shared" si="19"/>
      </c>
      <c r="Y102" s="75" t="str">
        <f t="shared" si="20"/>
      </c>
      <c r="Z102" s="78" t="str">
        <f t="shared" si="21"/>
      </c>
      <c r="AA102" s="79" t="str">
        <f t="shared" si="22"/>
      </c>
      <c r="AB102" s="80" t="str">
        <f t="shared" si="23"/>
      </c>
      <c r="AC102" s="81" t="str">
        <f t="array" ref="AC102">IF(AB102="","",IFERROR(INDEX(HELPER!$D$8:$D$48,IF(AB102&gt;=HELPER!$B$8,1,MATCH(AB102,HELPER!$B$8:$B$48,-1)+1)),""))</f>
      </c>
      <c r="AD102" s="82" t="str">
        <f>IF(AC102="","",IFERROR(VLOOKUP(AC102,HELPER!$F$8:$G$48,2,FALSE),""))</f>
      </c>
      <c r="AE102" s="3"/>
      <c r="AF102" s="4"/>
    </row>
    <row r="103" spans="1:32" ht="15" customHeight="1" x14ac:dyDescent="0.15">
      <c r="A103" s="3"/>
      <c r="B103" s="132">
        <v>35</v>
      </c>
      <c r="C103" s="181" t="str">
        <f>IF('INPUT DATA'!N45="","",'INPUT DATA'!N45)</f>
      </c>
      <c r="D103" s="182"/>
      <c r="E103" s="183"/>
      <c r="F103" s="70"/>
      <c r="G103" s="71"/>
      <c r="H103" s="71"/>
      <c r="I103" s="71"/>
      <c r="J103" s="72"/>
      <c r="K103" s="73" t="str">
        <f t="shared" si="12"/>
      </c>
      <c r="L103" s="74" t="str">
        <f t="shared" si="13"/>
      </c>
      <c r="M103" s="75" t="str">
        <f t="shared" si="14"/>
      </c>
      <c r="N103" s="70"/>
      <c r="O103" s="71"/>
      <c r="P103" s="72"/>
      <c r="Q103" s="73" t="str">
        <f t="shared" si="15"/>
      </c>
      <c r="R103" s="74" t="str">
        <f t="shared" si="16"/>
      </c>
      <c r="S103" s="75" t="str">
        <f t="shared" si="17"/>
      </c>
      <c r="T103" s="70"/>
      <c r="U103" s="71"/>
      <c r="V103" s="72"/>
      <c r="W103" s="77" t="str">
        <f t="shared" si="18"/>
      </c>
      <c r="X103" s="74" t="str">
        <f t="shared" si="19"/>
      </c>
      <c r="Y103" s="75" t="str">
        <f t="shared" si="20"/>
      </c>
      <c r="Z103" s="78" t="str">
        <f t="shared" si="21"/>
      </c>
      <c r="AA103" s="79" t="str">
        <f t="shared" si="22"/>
      </c>
      <c r="AB103" s="80" t="str">
        <f t="shared" si="23"/>
      </c>
      <c r="AC103" s="81" t="str">
        <f t="array" ref="AC103">IF(AB103="","",IFERROR(INDEX(HELPER!$D$8:$D$48,IF(AB103&gt;=HELPER!$B$8,1,MATCH(AB103,HELPER!$B$8:$B$48,-1)+1)),""))</f>
      </c>
      <c r="AD103" s="82" t="str">
        <f>IF(AC103="","",IFERROR(VLOOKUP(AC103,HELPER!$F$8:$G$48,2,FALSE),""))</f>
      </c>
      <c r="AE103" s="3"/>
      <c r="AF103" s="4"/>
    </row>
    <row r="104" spans="1:32" ht="15" customHeight="1" x14ac:dyDescent="0.15">
      <c r="A104" s="3"/>
      <c r="B104" s="132">
        <v>36</v>
      </c>
      <c r="C104" s="181" t="str">
        <f>IF('INPUT DATA'!N46="","",'INPUT DATA'!N46)</f>
      </c>
      <c r="D104" s="182"/>
      <c r="E104" s="183"/>
      <c r="F104" s="70"/>
      <c r="G104" s="71"/>
      <c r="H104" s="71"/>
      <c r="I104" s="71"/>
      <c r="J104" s="72"/>
      <c r="K104" s="73" t="str">
        <f t="shared" si="12"/>
      </c>
      <c r="L104" s="74" t="str">
        <f t="shared" si="13"/>
      </c>
      <c r="M104" s="75" t="str">
        <f t="shared" si="14"/>
      </c>
      <c r="N104" s="70"/>
      <c r="O104" s="71"/>
      <c r="P104" s="72"/>
      <c r="Q104" s="73" t="str">
        <f t="shared" si="15"/>
      </c>
      <c r="R104" s="74" t="str">
        <f t="shared" si="16"/>
      </c>
      <c r="S104" s="75" t="str">
        <f t="shared" si="17"/>
      </c>
      <c r="T104" s="70"/>
      <c r="U104" s="71"/>
      <c r="V104" s="72"/>
      <c r="W104" s="77" t="str">
        <f t="shared" si="18"/>
      </c>
      <c r="X104" s="74" t="str">
        <f t="shared" si="19"/>
      </c>
      <c r="Y104" s="75" t="str">
        <f t="shared" si="20"/>
      </c>
      <c r="Z104" s="78" t="str">
        <f t="shared" si="21"/>
      </c>
      <c r="AA104" s="79" t="str">
        <f t="shared" si="22"/>
      </c>
      <c r="AB104" s="80" t="str">
        <f t="shared" si="23"/>
      </c>
      <c r="AC104" s="81" t="str">
        <f t="array" ref="AC104">IF(AB104="","",IFERROR(INDEX(HELPER!$D$8:$D$48,IF(AB104&gt;=HELPER!$B$8,1,MATCH(AB104,HELPER!$B$8:$B$48,-1)+1)),""))</f>
      </c>
      <c r="AD104" s="82" t="str">
        <f>IF(AC104="","",IFERROR(VLOOKUP(AC104,HELPER!$F$8:$G$48,2,FALSE),""))</f>
      </c>
      <c r="AE104" s="3"/>
      <c r="AF104" s="4"/>
    </row>
    <row r="105" spans="1:32" ht="15" customHeight="1" x14ac:dyDescent="0.15">
      <c r="A105" s="3"/>
      <c r="B105" s="132">
        <v>37</v>
      </c>
      <c r="C105" s="181" t="str">
        <f>IF('INPUT DATA'!N47="","",'INPUT DATA'!N47)</f>
      </c>
      <c r="D105" s="182"/>
      <c r="E105" s="183"/>
      <c r="F105" s="70"/>
      <c r="G105" s="71"/>
      <c r="H105" s="71"/>
      <c r="I105" s="71"/>
      <c r="J105" s="72"/>
      <c r="K105" s="73" t="str">
        <f t="shared" si="12"/>
      </c>
      <c r="L105" s="74" t="str">
        <f t="shared" si="13"/>
      </c>
      <c r="M105" s="75" t="str">
        <f t="shared" si="14"/>
      </c>
      <c r="N105" s="70"/>
      <c r="O105" s="71"/>
      <c r="P105" s="72"/>
      <c r="Q105" s="73" t="str">
        <f t="shared" si="15"/>
      </c>
      <c r="R105" s="74" t="str">
        <f t="shared" si="16"/>
      </c>
      <c r="S105" s="75" t="str">
        <f t="shared" si="17"/>
      </c>
      <c r="T105" s="70"/>
      <c r="U105" s="71"/>
      <c r="V105" s="72"/>
      <c r="W105" s="77" t="str">
        <f t="shared" si="18"/>
      </c>
      <c r="X105" s="74" t="str">
        <f t="shared" si="19"/>
      </c>
      <c r="Y105" s="75" t="str">
        <f t="shared" si="20"/>
      </c>
      <c r="Z105" s="78" t="str">
        <f t="shared" si="21"/>
      </c>
      <c r="AA105" s="79" t="str">
        <f t="shared" si="22"/>
      </c>
      <c r="AB105" s="80" t="str">
        <f t="shared" si="23"/>
      </c>
      <c r="AC105" s="81" t="str">
        <f t="array" ref="AC105">IF(AB105="","",IFERROR(INDEX(HELPER!$D$8:$D$48,IF(AB105&gt;=HELPER!$B$8,1,MATCH(AB105,HELPER!$B$8:$B$48,-1)+1)),""))</f>
      </c>
      <c r="AD105" s="82" t="str">
        <f>IF(AC105="","",IFERROR(VLOOKUP(AC105,HELPER!$F$8:$G$48,2,FALSE),""))</f>
      </c>
      <c r="AE105" s="3"/>
      <c r="AF105" s="4"/>
    </row>
    <row r="106" spans="1:32" ht="15" customHeight="1" x14ac:dyDescent="0.15">
      <c r="A106" s="3"/>
      <c r="B106" s="132">
        <v>38</v>
      </c>
      <c r="C106" s="181" t="str">
        <f>IF('INPUT DATA'!N48="","",'INPUT DATA'!N48)</f>
      </c>
      <c r="D106" s="182"/>
      <c r="E106" s="183"/>
      <c r="F106" s="70"/>
      <c r="G106" s="71"/>
      <c r="H106" s="71"/>
      <c r="I106" s="71"/>
      <c r="J106" s="72"/>
      <c r="K106" s="73" t="str">
        <f t="shared" si="12"/>
      </c>
      <c r="L106" s="74" t="str">
        <f t="shared" si="13"/>
      </c>
      <c r="M106" s="75" t="str">
        <f t="shared" si="14"/>
      </c>
      <c r="N106" s="70"/>
      <c r="O106" s="71"/>
      <c r="P106" s="72"/>
      <c r="Q106" s="73" t="str">
        <f t="shared" si="15"/>
      </c>
      <c r="R106" s="74" t="str">
        <f t="shared" si="16"/>
      </c>
      <c r="S106" s="75" t="str">
        <f t="shared" si="17"/>
      </c>
      <c r="T106" s="70"/>
      <c r="U106" s="71"/>
      <c r="V106" s="72"/>
      <c r="W106" s="77" t="str">
        <f t="shared" si="18"/>
      </c>
      <c r="X106" s="74" t="str">
        <f t="shared" si="19"/>
      </c>
      <c r="Y106" s="75" t="str">
        <f t="shared" si="20"/>
      </c>
      <c r="Z106" s="78" t="str">
        <f t="shared" si="21"/>
      </c>
      <c r="AA106" s="79" t="str">
        <f t="shared" si="22"/>
      </c>
      <c r="AB106" s="80" t="str">
        <f t="shared" si="23"/>
      </c>
      <c r="AC106" s="81" t="str">
        <f t="array" ref="AC106">IF(AB106="","",IFERROR(INDEX(HELPER!$D$8:$D$48,IF(AB106&gt;=HELPER!$B$8,1,MATCH(AB106,HELPER!$B$8:$B$48,-1)+1)),""))</f>
      </c>
      <c r="AD106" s="82" t="str">
        <f>IF(AC106="","",IFERROR(VLOOKUP(AC106,HELPER!$F$8:$G$48,2,FALSE),""))</f>
      </c>
      <c r="AE106" s="3"/>
      <c r="AF106" s="4"/>
    </row>
    <row r="107" spans="1:32" ht="15" customHeight="1" x14ac:dyDescent="0.15">
      <c r="A107" s="3"/>
      <c r="B107" s="132">
        <v>39</v>
      </c>
      <c r="C107" s="181" t="str">
        <f>IF('INPUT DATA'!N49="","",'INPUT DATA'!N49)</f>
      </c>
      <c r="D107" s="182"/>
      <c r="E107" s="183"/>
      <c r="F107" s="70"/>
      <c r="G107" s="71"/>
      <c r="H107" s="71"/>
      <c r="I107" s="71"/>
      <c r="J107" s="72"/>
      <c r="K107" s="73" t="str">
        <f t="shared" si="12"/>
      </c>
      <c r="L107" s="74" t="str">
        <f t="shared" si="13"/>
      </c>
      <c r="M107" s="75" t="str">
        <f t="shared" si="14"/>
      </c>
      <c r="N107" s="70"/>
      <c r="O107" s="71"/>
      <c r="P107" s="72"/>
      <c r="Q107" s="73" t="str">
        <f t="shared" si="15"/>
      </c>
      <c r="R107" s="74" t="str">
        <f t="shared" si="16"/>
      </c>
      <c r="S107" s="75" t="str">
        <f t="shared" si="17"/>
      </c>
      <c r="T107" s="70"/>
      <c r="U107" s="71"/>
      <c r="V107" s="72"/>
      <c r="W107" s="77" t="str">
        <f t="shared" si="18"/>
      </c>
      <c r="X107" s="74" t="str">
        <f t="shared" si="19"/>
      </c>
      <c r="Y107" s="75" t="str">
        <f t="shared" si="20"/>
      </c>
      <c r="Z107" s="78" t="str">
        <f t="shared" si="21"/>
      </c>
      <c r="AA107" s="79" t="str">
        <f t="shared" si="22"/>
      </c>
      <c r="AB107" s="80" t="str">
        <f t="shared" si="23"/>
      </c>
      <c r="AC107" s="81" t="str">
        <f t="array" ref="AC107">IF(AB107="","",IFERROR(INDEX(HELPER!$D$8:$D$48,IF(AB107&gt;=HELPER!$B$8,1,MATCH(AB107,HELPER!$B$8:$B$48,-1)+1)),""))</f>
      </c>
      <c r="AD107" s="82" t="str">
        <f>IF(AC107="","",IFERROR(VLOOKUP(AC107,HELPER!$F$8:$G$48,2,FALSE),""))</f>
      </c>
      <c r="AE107" s="3"/>
      <c r="AF107" s="4"/>
    </row>
    <row r="108" spans="1:32" ht="15" customHeight="1" x14ac:dyDescent="0.15">
      <c r="A108" s="3"/>
      <c r="B108" s="132">
        <v>40</v>
      </c>
      <c r="C108" s="181" t="str">
        <f>IF('INPUT DATA'!N50="","",'INPUT DATA'!N50)</f>
      </c>
      <c r="D108" s="182"/>
      <c r="E108" s="183"/>
      <c r="F108" s="70"/>
      <c r="G108" s="71"/>
      <c r="H108" s="71"/>
      <c r="I108" s="71"/>
      <c r="J108" s="72"/>
      <c r="K108" s="73" t="str">
        <f t="shared" si="12"/>
      </c>
      <c r="L108" s="74" t="str">
        <f t="shared" si="13"/>
      </c>
      <c r="M108" s="75" t="str">
        <f t="shared" si="14"/>
      </c>
      <c r="N108" s="70"/>
      <c r="O108" s="71"/>
      <c r="P108" s="72"/>
      <c r="Q108" s="73" t="str">
        <f t="shared" si="15"/>
      </c>
      <c r="R108" s="74" t="str">
        <f t="shared" si="16"/>
      </c>
      <c r="S108" s="75" t="str">
        <f t="shared" si="17"/>
      </c>
      <c r="T108" s="70"/>
      <c r="U108" s="71"/>
      <c r="V108" s="72"/>
      <c r="W108" s="77" t="str">
        <f t="shared" si="18"/>
      </c>
      <c r="X108" s="74" t="str">
        <f t="shared" si="19"/>
      </c>
      <c r="Y108" s="75" t="str">
        <f t="shared" si="20"/>
      </c>
      <c r="Z108" s="78" t="str">
        <f t="shared" si="21"/>
      </c>
      <c r="AA108" s="79" t="str">
        <f t="shared" si="22"/>
      </c>
      <c r="AB108" s="80" t="str">
        <f t="shared" si="23"/>
      </c>
      <c r="AC108" s="81" t="str">
        <f t="array" ref="AC108">IF(AB108="","",IFERROR(INDEX(HELPER!$D$8:$D$48,IF(AB108&gt;=HELPER!$B$8,1,MATCH(AB108,HELPER!$B$8:$B$48,-1)+1)),""))</f>
      </c>
      <c r="AD108" s="82" t="str">
        <f>IF(AC108="","",IFERROR(VLOOKUP(AC108,HELPER!$F$8:$G$48,2,FALSE),""))</f>
      </c>
      <c r="AE108" s="3"/>
      <c r="AF108" s="4"/>
    </row>
    <row r="109" spans="1:32" ht="15" customHeight="1" x14ac:dyDescent="0.15">
      <c r="A109" s="3"/>
      <c r="B109" s="132">
        <v>41</v>
      </c>
      <c r="C109" s="181" t="str">
        <f>IF('INPUT DATA'!N51="","",'INPUT DATA'!N51)</f>
      </c>
      <c r="D109" s="182"/>
      <c r="E109" s="183"/>
      <c r="F109" s="70"/>
      <c r="G109" s="71"/>
      <c r="H109" s="71"/>
      <c r="I109" s="71"/>
      <c r="J109" s="72"/>
      <c r="K109" s="73" t="str">
        <f t="shared" si="12"/>
      </c>
      <c r="L109" s="74" t="str">
        <f t="shared" si="13"/>
      </c>
      <c r="M109" s="75" t="str">
        <f t="shared" si="14"/>
      </c>
      <c r="N109" s="70"/>
      <c r="O109" s="71"/>
      <c r="P109" s="72"/>
      <c r="Q109" s="73" t="str">
        <f t="shared" si="15"/>
      </c>
      <c r="R109" s="74" t="str">
        <f t="shared" si="16"/>
      </c>
      <c r="S109" s="75" t="str">
        <f t="shared" si="17"/>
      </c>
      <c r="T109" s="70"/>
      <c r="U109" s="71"/>
      <c r="V109" s="72"/>
      <c r="W109" s="77" t="str">
        <f t="shared" si="18"/>
      </c>
      <c r="X109" s="74" t="str">
        <f t="shared" si="19"/>
      </c>
      <c r="Y109" s="75" t="str">
        <f t="shared" si="20"/>
      </c>
      <c r="Z109" s="78" t="str">
        <f t="shared" si="21"/>
      </c>
      <c r="AA109" s="79" t="str">
        <f t="shared" si="22"/>
      </c>
      <c r="AB109" s="80" t="str">
        <f t="shared" si="23"/>
      </c>
      <c r="AC109" s="81" t="str">
        <f t="array" ref="AC109">IF(AB109="","",IFERROR(INDEX(HELPER!$D$8:$D$48,IF(AB109&gt;=HELPER!$B$8,1,MATCH(AB109,HELPER!$B$8:$B$48,-1)+1)),""))</f>
      </c>
      <c r="AD109" s="82" t="str">
        <f>IF(AC109="","",IFERROR(VLOOKUP(AC109,HELPER!$F$8:$G$48,2,FALSE),""))</f>
      </c>
      <c r="AE109" s="3"/>
      <c r="AF109" s="4"/>
    </row>
    <row r="110" spans="1:32" ht="15" customHeight="1" x14ac:dyDescent="0.15">
      <c r="A110" s="3"/>
      <c r="B110" s="132">
        <v>42</v>
      </c>
      <c r="C110" s="181" t="str">
        <f>IF('INPUT DATA'!N52="","",'INPUT DATA'!N52)</f>
      </c>
      <c r="D110" s="182"/>
      <c r="E110" s="183"/>
      <c r="F110" s="70"/>
      <c r="G110" s="71"/>
      <c r="H110" s="71"/>
      <c r="I110" s="71"/>
      <c r="J110" s="72"/>
      <c r="K110" s="73" t="str">
        <f t="shared" si="12"/>
      </c>
      <c r="L110" s="74" t="str">
        <f t="shared" si="13"/>
      </c>
      <c r="M110" s="75" t="str">
        <f t="shared" si="14"/>
      </c>
      <c r="N110" s="70"/>
      <c r="O110" s="71"/>
      <c r="P110" s="72"/>
      <c r="Q110" s="73" t="str">
        <f t="shared" si="15"/>
      </c>
      <c r="R110" s="74" t="str">
        <f t="shared" si="16"/>
      </c>
      <c r="S110" s="75" t="str">
        <f t="shared" si="17"/>
      </c>
      <c r="T110" s="70"/>
      <c r="U110" s="71"/>
      <c r="V110" s="72"/>
      <c r="W110" s="77" t="str">
        <f t="shared" si="18"/>
      </c>
      <c r="X110" s="74" t="str">
        <f t="shared" si="19"/>
      </c>
      <c r="Y110" s="75" t="str">
        <f t="shared" si="20"/>
      </c>
      <c r="Z110" s="78" t="str">
        <f t="shared" si="21"/>
      </c>
      <c r="AA110" s="79" t="str">
        <f t="shared" si="22"/>
      </c>
      <c r="AB110" s="80" t="str">
        <f t="shared" si="23"/>
      </c>
      <c r="AC110" s="81" t="str">
        <f t="array" ref="AC110">IF(AB110="","",IFERROR(INDEX(HELPER!$D$8:$D$48,IF(AB110&gt;=HELPER!$B$8,1,MATCH(AB110,HELPER!$B$8:$B$48,-1)+1)),""))</f>
      </c>
      <c r="AD110" s="82" t="str">
        <f>IF(AC110="","",IFERROR(VLOOKUP(AC110,HELPER!$F$8:$G$48,2,FALSE),""))</f>
      </c>
      <c r="AE110" s="3"/>
      <c r="AF110" s="4"/>
    </row>
    <row r="111" spans="1:32" ht="15" customHeight="1" x14ac:dyDescent="0.15">
      <c r="A111" s="3"/>
      <c r="B111" s="132">
        <v>43</v>
      </c>
      <c r="C111" s="181" t="str">
        <f>IF('INPUT DATA'!N53="","",'INPUT DATA'!N53)</f>
      </c>
      <c r="D111" s="182"/>
      <c r="E111" s="183"/>
      <c r="F111" s="70"/>
      <c r="G111" s="71"/>
      <c r="H111" s="71"/>
      <c r="I111" s="71"/>
      <c r="J111" s="72"/>
      <c r="K111" s="73" t="str">
        <f t="shared" si="12"/>
      </c>
      <c r="L111" s="74" t="str">
        <f t="shared" si="13"/>
      </c>
      <c r="M111" s="75" t="str">
        <f t="shared" si="14"/>
      </c>
      <c r="N111" s="70"/>
      <c r="O111" s="71"/>
      <c r="P111" s="72"/>
      <c r="Q111" s="73" t="str">
        <f t="shared" si="15"/>
      </c>
      <c r="R111" s="74" t="str">
        <f t="shared" si="16"/>
      </c>
      <c r="S111" s="75" t="str">
        <f t="shared" si="17"/>
      </c>
      <c r="T111" s="70"/>
      <c r="U111" s="71"/>
      <c r="V111" s="72"/>
      <c r="W111" s="77" t="str">
        <f t="shared" si="18"/>
      </c>
      <c r="X111" s="74" t="str">
        <f t="shared" si="19"/>
      </c>
      <c r="Y111" s="75" t="str">
        <f t="shared" si="20"/>
      </c>
      <c r="Z111" s="78" t="str">
        <f t="shared" si="21"/>
      </c>
      <c r="AA111" s="79" t="str">
        <f t="shared" si="22"/>
      </c>
      <c r="AB111" s="80" t="str">
        <f t="shared" si="23"/>
      </c>
      <c r="AC111" s="81" t="str">
        <f t="array" ref="AC111">IF(AB111="","",IFERROR(INDEX(HELPER!$D$8:$D$48,IF(AB111&gt;=HELPER!$B$8,1,MATCH(AB111,HELPER!$B$8:$B$48,-1)+1)),""))</f>
      </c>
      <c r="AD111" s="82" t="str">
        <f>IF(AC111="","",IFERROR(VLOOKUP(AC111,HELPER!$F$8:$G$48,2,FALSE),""))</f>
      </c>
      <c r="AE111" s="3"/>
      <c r="AF111" s="4"/>
    </row>
    <row r="112" spans="1:32" ht="15" customHeight="1" x14ac:dyDescent="0.15">
      <c r="A112" s="3"/>
      <c r="B112" s="132">
        <v>44</v>
      </c>
      <c r="C112" s="181" t="str">
        <f>IF('INPUT DATA'!N54="","",'INPUT DATA'!N54)</f>
      </c>
      <c r="D112" s="182"/>
      <c r="E112" s="183"/>
      <c r="F112" s="70"/>
      <c r="G112" s="71"/>
      <c r="H112" s="71"/>
      <c r="I112" s="71"/>
      <c r="J112" s="72"/>
      <c r="K112" s="73" t="str">
        <f t="shared" si="12"/>
      </c>
      <c r="L112" s="74" t="str">
        <f t="shared" si="13"/>
      </c>
      <c r="M112" s="75" t="str">
        <f t="shared" si="14"/>
      </c>
      <c r="N112" s="70"/>
      <c r="O112" s="71"/>
      <c r="P112" s="72"/>
      <c r="Q112" s="73" t="str">
        <f t="shared" si="15"/>
      </c>
      <c r="R112" s="74" t="str">
        <f t="shared" si="16"/>
      </c>
      <c r="S112" s="75" t="str">
        <f t="shared" si="17"/>
      </c>
      <c r="T112" s="70"/>
      <c r="U112" s="71"/>
      <c r="V112" s="72"/>
      <c r="W112" s="77" t="str">
        <f t="shared" si="18"/>
      </c>
      <c r="X112" s="74" t="str">
        <f t="shared" si="19"/>
      </c>
      <c r="Y112" s="75" t="str">
        <f t="shared" si="20"/>
      </c>
      <c r="Z112" s="78" t="str">
        <f t="shared" si="21"/>
      </c>
      <c r="AA112" s="79" t="str">
        <f t="shared" si="22"/>
      </c>
      <c r="AB112" s="80" t="str">
        <f t="shared" si="23"/>
      </c>
      <c r="AC112" s="81" t="str">
        <f t="array" ref="AC112">IF(AB112="","",IFERROR(INDEX(HELPER!$D$8:$D$48,IF(AB112&gt;=HELPER!$B$8,1,MATCH(AB112,HELPER!$B$8:$B$48,-1)+1)),""))</f>
      </c>
      <c r="AD112" s="82" t="str">
        <f>IF(AC112="","",IFERROR(VLOOKUP(AC112,HELPER!$F$8:$G$48,2,FALSE),""))</f>
      </c>
      <c r="AE112" s="3"/>
      <c r="AF112" s="4"/>
    </row>
    <row r="113" spans="1:32" ht="15" customHeight="1" x14ac:dyDescent="0.15">
      <c r="A113" s="3"/>
      <c r="B113" s="132">
        <v>45</v>
      </c>
      <c r="C113" s="181" t="str">
        <f>IF('INPUT DATA'!N55="","",'INPUT DATA'!N55)</f>
      </c>
      <c r="D113" s="182"/>
      <c r="E113" s="183"/>
      <c r="F113" s="70"/>
      <c r="G113" s="71"/>
      <c r="H113" s="71"/>
      <c r="I113" s="71"/>
      <c r="J113" s="72"/>
      <c r="K113" s="73" t="str">
        <f t="shared" si="12"/>
      </c>
      <c r="L113" s="74" t="str">
        <f t="shared" si="13"/>
      </c>
      <c r="M113" s="75" t="str">
        <f t="shared" si="14"/>
      </c>
      <c r="N113" s="70"/>
      <c r="O113" s="71"/>
      <c r="P113" s="72"/>
      <c r="Q113" s="73" t="str">
        <f t="shared" si="15"/>
      </c>
      <c r="R113" s="74" t="str">
        <f t="shared" si="16"/>
      </c>
      <c r="S113" s="75" t="str">
        <f t="shared" si="17"/>
      </c>
      <c r="T113" s="70"/>
      <c r="U113" s="71"/>
      <c r="V113" s="72"/>
      <c r="W113" s="77" t="str">
        <f t="shared" si="18"/>
      </c>
      <c r="X113" s="74" t="str">
        <f t="shared" si="19"/>
      </c>
      <c r="Y113" s="75" t="str">
        <f t="shared" si="20"/>
      </c>
      <c r="Z113" s="78" t="str">
        <f t="shared" si="21"/>
      </c>
      <c r="AA113" s="79" t="str">
        <f t="shared" si="22"/>
      </c>
      <c r="AB113" s="80" t="str">
        <f t="shared" si="23"/>
      </c>
      <c r="AC113" s="81" t="str">
        <f t="array" ref="AC113">IF(AB113="","",IFERROR(INDEX(HELPER!$D$8:$D$48,IF(AB113&gt;=HELPER!$B$8,1,MATCH(AB113,HELPER!$B$8:$B$48,-1)+1)),""))</f>
      </c>
      <c r="AD113" s="82" t="str">
        <f>IF(AC113="","",IFERROR(VLOOKUP(AC113,HELPER!$F$8:$G$48,2,FALSE),""))</f>
      </c>
      <c r="AE113" s="3"/>
      <c r="AF113" s="4"/>
    </row>
    <row r="114" spans="1:32" ht="15" customHeight="1" x14ac:dyDescent="0.15">
      <c r="A114" s="3"/>
      <c r="B114" s="132">
        <v>46</v>
      </c>
      <c r="C114" s="181" t="str">
        <f>IF('INPUT DATA'!N56="","",'INPUT DATA'!N56)</f>
      </c>
      <c r="D114" s="182"/>
      <c r="E114" s="183"/>
      <c r="F114" s="70"/>
      <c r="G114" s="71"/>
      <c r="H114" s="71"/>
      <c r="I114" s="71"/>
      <c r="J114" s="72"/>
      <c r="K114" s="73" t="str">
        <f t="shared" si="12"/>
      </c>
      <c r="L114" s="74" t="str">
        <f t="shared" si="13"/>
      </c>
      <c r="M114" s="75" t="str">
        <f t="shared" si="14"/>
      </c>
      <c r="N114" s="70"/>
      <c r="O114" s="71"/>
      <c r="P114" s="72"/>
      <c r="Q114" s="73" t="str">
        <f t="shared" si="15"/>
      </c>
      <c r="R114" s="74" t="str">
        <f t="shared" si="16"/>
      </c>
      <c r="S114" s="75" t="str">
        <f t="shared" si="17"/>
      </c>
      <c r="T114" s="70"/>
      <c r="U114" s="71"/>
      <c r="V114" s="72"/>
      <c r="W114" s="77" t="str">
        <f t="shared" si="18"/>
      </c>
      <c r="X114" s="74" t="str">
        <f t="shared" si="19"/>
      </c>
      <c r="Y114" s="75" t="str">
        <f t="shared" si="20"/>
      </c>
      <c r="Z114" s="78" t="str">
        <f t="shared" si="21"/>
      </c>
      <c r="AA114" s="79" t="str">
        <f t="shared" si="22"/>
      </c>
      <c r="AB114" s="80" t="str">
        <f t="shared" si="23"/>
      </c>
      <c r="AC114" s="81" t="str">
        <f t="array" ref="AC114">IF(AB114="","",IFERROR(INDEX(HELPER!$D$8:$D$48,IF(AB114&gt;=HELPER!$B$8,1,MATCH(AB114,HELPER!$B$8:$B$48,-1)+1)),""))</f>
      </c>
      <c r="AD114" s="82" t="str">
        <f>IF(AC114="","",IFERROR(VLOOKUP(AC114,HELPER!$F$8:$G$48,2,FALSE),""))</f>
      </c>
      <c r="AE114" s="3"/>
      <c r="AF114" s="4"/>
    </row>
    <row r="115" spans="1:32" ht="15" customHeight="1" x14ac:dyDescent="0.15">
      <c r="A115" s="3"/>
      <c r="B115" s="132">
        <v>47</v>
      </c>
      <c r="C115" s="181" t="str">
        <f>IF('INPUT DATA'!N57="","",'INPUT DATA'!N57)</f>
      </c>
      <c r="D115" s="182"/>
      <c r="E115" s="183"/>
      <c r="F115" s="70"/>
      <c r="G115" s="71"/>
      <c r="H115" s="71"/>
      <c r="I115" s="71"/>
      <c r="J115" s="72"/>
      <c r="K115" s="73" t="str">
        <f t="shared" si="12"/>
      </c>
      <c r="L115" s="74" t="str">
        <f t="shared" si="13"/>
      </c>
      <c r="M115" s="75" t="str">
        <f t="shared" si="14"/>
      </c>
      <c r="N115" s="70"/>
      <c r="O115" s="71"/>
      <c r="P115" s="72"/>
      <c r="Q115" s="73" t="str">
        <f t="shared" si="15"/>
      </c>
      <c r="R115" s="74" t="str">
        <f t="shared" si="16"/>
      </c>
      <c r="S115" s="75" t="str">
        <f t="shared" si="17"/>
      </c>
      <c r="T115" s="70"/>
      <c r="U115" s="71"/>
      <c r="V115" s="72"/>
      <c r="W115" s="77" t="str">
        <f t="shared" si="18"/>
      </c>
      <c r="X115" s="74" t="str">
        <f t="shared" si="19"/>
      </c>
      <c r="Y115" s="75" t="str">
        <f t="shared" si="20"/>
      </c>
      <c r="Z115" s="78" t="str">
        <f t="shared" si="21"/>
      </c>
      <c r="AA115" s="79" t="str">
        <f t="shared" si="22"/>
      </c>
      <c r="AB115" s="80" t="str">
        <f t="shared" si="23"/>
      </c>
      <c r="AC115" s="81" t="str">
        <f t="array" ref="AC115">IF(AB115="","",IFERROR(INDEX(HELPER!$D$8:$D$48,IF(AB115&gt;=HELPER!$B$8,1,MATCH(AB115,HELPER!$B$8:$B$48,-1)+1)),""))</f>
      </c>
      <c r="AD115" s="82" t="str">
        <f>IF(AC115="","",IFERROR(VLOOKUP(AC115,HELPER!$F$8:$G$48,2,FALSE),""))</f>
      </c>
      <c r="AE115" s="3"/>
      <c r="AF115" s="4"/>
    </row>
    <row r="116" spans="1:32" ht="15" customHeight="1" x14ac:dyDescent="0.15">
      <c r="A116" s="3"/>
      <c r="B116" s="132">
        <v>48</v>
      </c>
      <c r="C116" s="181" t="str">
        <f>IF('INPUT DATA'!N58="","",'INPUT DATA'!N58)</f>
      </c>
      <c r="D116" s="182"/>
      <c r="E116" s="183"/>
      <c r="F116" s="70"/>
      <c r="G116" s="71"/>
      <c r="H116" s="71"/>
      <c r="I116" s="71"/>
      <c r="J116" s="72"/>
      <c r="K116" s="73" t="str">
        <f t="shared" si="12"/>
      </c>
      <c r="L116" s="74" t="str">
        <f t="shared" si="13"/>
      </c>
      <c r="M116" s="75" t="str">
        <f t="shared" si="14"/>
      </c>
      <c r="N116" s="70"/>
      <c r="O116" s="71"/>
      <c r="P116" s="72"/>
      <c r="Q116" s="73" t="str">
        <f t="shared" si="15"/>
      </c>
      <c r="R116" s="74" t="str">
        <f t="shared" si="16"/>
      </c>
      <c r="S116" s="75" t="str">
        <f t="shared" si="17"/>
      </c>
      <c r="T116" s="70"/>
      <c r="U116" s="71"/>
      <c r="V116" s="72"/>
      <c r="W116" s="77" t="str">
        <f t="shared" si="18"/>
      </c>
      <c r="X116" s="74" t="str">
        <f t="shared" si="19"/>
      </c>
      <c r="Y116" s="75" t="str">
        <f t="shared" si="20"/>
      </c>
      <c r="Z116" s="78" t="str">
        <f t="shared" si="21"/>
      </c>
      <c r="AA116" s="79" t="str">
        <f t="shared" si="22"/>
      </c>
      <c r="AB116" s="80" t="str">
        <f t="shared" si="23"/>
      </c>
      <c r="AC116" s="81" t="str">
        <f t="array" ref="AC116">IF(AB116="","",IFERROR(INDEX(HELPER!$D$8:$D$48,IF(AB116&gt;=HELPER!$B$8,1,MATCH(AB116,HELPER!$B$8:$B$48,-1)+1)),""))</f>
      </c>
      <c r="AD116" s="82" t="str">
        <f>IF(AC116="","",IFERROR(VLOOKUP(AC116,HELPER!$F$8:$G$48,2,FALSE),""))</f>
      </c>
      <c r="AE116" s="3"/>
      <c r="AF116" s="4"/>
    </row>
    <row r="117" spans="1:32" ht="15" customHeight="1" x14ac:dyDescent="0.15">
      <c r="A117" s="3"/>
      <c r="B117" s="132">
        <v>49</v>
      </c>
      <c r="C117" s="181" t="str">
        <f>IF('INPUT DATA'!N59="","",'INPUT DATA'!N59)</f>
      </c>
      <c r="D117" s="182"/>
      <c r="E117" s="183"/>
      <c r="F117" s="70"/>
      <c r="G117" s="71"/>
      <c r="H117" s="71"/>
      <c r="I117" s="71"/>
      <c r="J117" s="72"/>
      <c r="K117" s="73" t="str">
        <f t="shared" si="12"/>
      </c>
      <c r="L117" s="74" t="str">
        <f t="shared" si="13"/>
      </c>
      <c r="M117" s="75" t="str">
        <f t="shared" si="14"/>
      </c>
      <c r="N117" s="70"/>
      <c r="O117" s="71"/>
      <c r="P117" s="72"/>
      <c r="Q117" s="73" t="str">
        <f t="shared" si="15"/>
      </c>
      <c r="R117" s="74" t="str">
        <f t="shared" si="16"/>
      </c>
      <c r="S117" s="75" t="str">
        <f t="shared" si="17"/>
      </c>
      <c r="T117" s="70"/>
      <c r="U117" s="71"/>
      <c r="V117" s="72"/>
      <c r="W117" s="77" t="str">
        <f t="shared" si="18"/>
      </c>
      <c r="X117" s="74" t="str">
        <f t="shared" si="19"/>
      </c>
      <c r="Y117" s="75" t="str">
        <f t="shared" si="20"/>
      </c>
      <c r="Z117" s="78" t="str">
        <f t="shared" si="21"/>
      </c>
      <c r="AA117" s="79" t="str">
        <f t="shared" si="22"/>
      </c>
      <c r="AB117" s="80" t="str">
        <f t="shared" si="23"/>
      </c>
      <c r="AC117" s="81" t="str">
        <f t="array" ref="AC117">IF(AB117="","",IFERROR(INDEX(HELPER!$D$8:$D$48,IF(AB117&gt;=HELPER!$B$8,1,MATCH(AB117,HELPER!$B$8:$B$48,-1)+1)),""))</f>
      </c>
      <c r="AD117" s="82" t="str">
        <f>IF(AC117="","",IFERROR(VLOOKUP(AC117,HELPER!$F$8:$G$48,2,FALSE),""))</f>
      </c>
      <c r="AE117" s="3"/>
      <c r="AF117" s="4"/>
    </row>
    <row r="118" spans="1:32" ht="15" customHeight="1" x14ac:dyDescent="0.15">
      <c r="A118" s="3"/>
      <c r="B118" s="135">
        <v>50</v>
      </c>
      <c r="C118" s="190" t="str">
        <f>IF('INPUT DATA'!N60="","",'INPUT DATA'!N60)</f>
      </c>
      <c r="D118" s="191"/>
      <c r="E118" s="192"/>
      <c r="F118" s="112"/>
      <c r="G118" s="113"/>
      <c r="H118" s="113"/>
      <c r="I118" s="113"/>
      <c r="J118" s="114"/>
      <c r="K118" s="136" t="str">
        <f t="shared" si="12"/>
      </c>
      <c r="L118" s="137" t="str">
        <f t="shared" si="13"/>
      </c>
      <c r="M118" s="138" t="str">
        <f t="shared" si="14"/>
      </c>
      <c r="N118" s="112"/>
      <c r="O118" s="113"/>
      <c r="P118" s="114"/>
      <c r="Q118" s="136" t="str">
        <f t="shared" si="15"/>
      </c>
      <c r="R118" s="137" t="str">
        <f t="shared" si="16"/>
      </c>
      <c r="S118" s="138" t="str">
        <f t="shared" si="17"/>
      </c>
      <c r="T118" s="112"/>
      <c r="U118" s="113"/>
      <c r="V118" s="114"/>
      <c r="W118" s="139" t="str">
        <f t="shared" si="18"/>
      </c>
      <c r="X118" s="137" t="str">
        <f t="shared" si="19"/>
      </c>
      <c r="Y118" s="138" t="str">
        <f t="shared" si="20"/>
      </c>
      <c r="Z118" s="140" t="str">
        <f t="shared" si="21"/>
      </c>
      <c r="AA118" s="141" t="str">
        <f t="shared" si="22"/>
      </c>
      <c r="AB118" s="142" t="str">
        <f t="shared" si="23"/>
      </c>
      <c r="AC118" s="115" t="str">
        <f t="array" ref="AC118">IF(AB118="","",IFERROR(INDEX(HELPER!$D$8:$D$48,IF(AB118&gt;=HELPER!$B$8,1,MATCH(AB118,HELPER!$B$8:$B$48,-1)+1)),""))</f>
      </c>
      <c r="AD118" s="116" t="str">
        <f>IF(AC118="","",IFERROR(VLOOKUP(AC118,HELPER!$F$8:$G$48,2,FALSE),""))</f>
      </c>
      <c r="AE118" s="3"/>
      <c r="AF118" s="4"/>
    </row>
    <row r="119" spans="1:32" ht="15.75" customHeight="1" x14ac:dyDescent="0.15">
      <c r="A119" s="3"/>
      <c r="B119" s="3"/>
      <c r="C119" s="193"/>
      <c r="D119" s="194"/>
      <c r="E119" s="194"/>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4"/>
    </row>
    <row r="120" spans="1:32" ht="15.75" customHeight="1" x14ac:dyDescent="0.15">
      <c r="A120" s="3"/>
      <c r="B120" s="3"/>
      <c r="C120" s="193"/>
      <c r="D120" s="194"/>
      <c r="E120" s="194"/>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4"/>
    </row>
    <row r="121" spans="1:32" ht="15.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5.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5.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5.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5.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5.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5.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5.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5.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5.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5.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5.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5.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5.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5.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5.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5.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5.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5.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5.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5.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5.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5.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5.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5.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5.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5.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5.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5.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5.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5.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5.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5.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5.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5.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5.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5.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5.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5.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5.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5.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5.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5.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5.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5.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5.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5.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5.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5.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5.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5.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5.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5.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5.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5.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5.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5.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5.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5.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5.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5.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5.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5.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5.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5.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5.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5.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5.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5.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5.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5.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5.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5.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5.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5.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5.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5.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5.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5.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5.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5.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5.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5.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5.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5.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5.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5.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5.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5.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5.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5.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5.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5.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5.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5.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5.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5.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5.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5.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5.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5.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5.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5.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5.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5.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5.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5.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5.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5.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5.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5.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5.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5.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5.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5.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5.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5.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5.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5.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5.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5.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5.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5.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5.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5.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5.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5.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5.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5.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5.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5.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5.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5.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5.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5.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5.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5.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5.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5.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5.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5.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5.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5.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5.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5.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5.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5.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5.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5.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5.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5.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5.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5.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5.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5.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5.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5.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5.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5.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5.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5.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5.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5.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5.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5.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5.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5.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5.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5.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5.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5.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5.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5.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5.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5.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5.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5.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5.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5.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5.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5.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5.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5.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5.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5.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5.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5.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5.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5.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5.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5.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5.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5.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5.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5.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5.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5.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5.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5.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5.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5.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5.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5.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5.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5.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5.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5.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5.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5.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5.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5.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5.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5.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5.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5.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5.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5.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5.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5.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5.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5.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5.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5.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5.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5.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5.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5.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5.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5.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5.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5.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5.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5.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5.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5.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5.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5.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5.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5.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5.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5.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5.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5.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5.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5.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5.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5.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5.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5.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5.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5.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5.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5.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5.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5.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5.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5.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5.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5.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5.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5.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5.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5.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5.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5.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5.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5.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5.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5.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5.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5.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5.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5.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5.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5.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5.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5.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5.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5.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5.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5.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5.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5.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5.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5.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5.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5.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5.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5.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5.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5.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5.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5.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5.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5.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5.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5.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5.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5.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5.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5.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5.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5.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5.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5.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5.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5.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5.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5.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5.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5.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5.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5.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5.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5.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5.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5.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5.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5.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5.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5.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5.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5.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5.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5.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5.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5.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5.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5.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5.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5.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5.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5.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5.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5.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5.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5.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5.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5.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5.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5.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5.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5.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5.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5.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5.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5.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5.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5.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5.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5.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5.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5.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5.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5.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5.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5.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5.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5.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5.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5.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5.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5.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5.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5.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5.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5.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5.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5.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5.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5.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5.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5.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5.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5.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5.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5.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5.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5.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5.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5.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5.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5.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5.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5.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5.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5.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5.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5.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5.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5.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5.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5.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5.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5.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5.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5.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5.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5.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5.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5.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5.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5.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5.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5.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5.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5.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5.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5.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5.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5.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5.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5.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5.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5.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5.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5.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5.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5.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5.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5.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5.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5.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5.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5.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5.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5.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5.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5.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5.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5.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5.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5.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5.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5.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5.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5.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5.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5.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5.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5.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5.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5.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5.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5.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5.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5.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5.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5.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5.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5.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5.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5.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5.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5.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5.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5.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5.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5.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5.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5.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5.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5.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5.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5.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5.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5.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5.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5.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5.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5.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5.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5.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5.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5.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5.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5.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5.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5.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5.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5.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5.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5.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5.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5.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5.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5.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5.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5.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5.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5.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5.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5.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5.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5.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5.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5.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5.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5.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5.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5.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5.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5.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5.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5.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5.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5.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5.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5.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5.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5.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5.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5.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5.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5.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5.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5.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5.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5.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5.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5.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5.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5.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5.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5.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5.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5.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5.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5.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5.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5.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5.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5.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5.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5.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5.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5.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5.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5.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5.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5.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5.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5.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5.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5.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5.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5.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5.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5.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5.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5.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5.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5.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5.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5.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5.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5.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5.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5.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5.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5.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5.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5.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5.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5.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5.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5.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5.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5.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5.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5.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5.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5.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5.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5.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5.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5.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5.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5.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5.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5.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5.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5.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5.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5.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5.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5.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5.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5.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5.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5.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5.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5.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5.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5.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5.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5.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5.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5.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5.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5.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5.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5.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5.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5.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5.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5.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5.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5.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5.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5.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5.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5.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5.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5.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5.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5.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5.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5.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5.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5.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5.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5.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5.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5.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5.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5.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5.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5.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5.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5.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5.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5.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5.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5.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5.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5.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5.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5.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5.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5.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5.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5.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5.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5.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5.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5.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5.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5.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5.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5.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5.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5.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5.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5.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5.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5.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5.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5.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5.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5.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5.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5.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5.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5.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5.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5.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5.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5.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5.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5.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5.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5.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5.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5.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5.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5.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5.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5.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5.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5.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5.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5.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5.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5.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5.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5.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5.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5.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5.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5.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5.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5.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5.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5.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5.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5.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5.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5.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5.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5.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5.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5.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5.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5.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5.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5.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5.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5.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5.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5.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5.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5.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5.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5.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5.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5.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5.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5.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5.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5.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5.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5.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5.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5.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5.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5.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5.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5.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5.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5.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5.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5.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5.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5.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5.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5.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5.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5.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5.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5.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5.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5.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5.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5.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5.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5.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5.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5.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5.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5.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5.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5.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5.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5.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5.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5.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5.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5.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5.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5.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5.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5.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5.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5.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5.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5.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5.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5.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5.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5.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5.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5.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5.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5.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5.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5.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5.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5.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5.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5.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5.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5.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5.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5.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5.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5.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5.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5.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5.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5.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5.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5.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5.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5.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5.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5.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5.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5.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5.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5.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5.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5.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5.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5.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5.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5.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5.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5.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5.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5.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5.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5.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5.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5.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5.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5.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5.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5.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5.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5.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5.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5.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5.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5.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5.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5.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5.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5.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5.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5.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5.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5.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5.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5.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5.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5.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5.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5.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5.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5.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5.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5.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5.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5.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5.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5.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5.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5.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5.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5.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5.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5.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5.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5.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5.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5.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5.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5.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5.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5.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5.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5.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5.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5.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5.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5.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5.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5.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5.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5.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5.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5.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5.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5.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5.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5.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5.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5.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5.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dataValidations count="12">
    <dataValidation type="custom" allowBlank="1" showInputMessage="1" showErrorMessage="1" prompt="Score Entry - Enter learners' raw scores." sqref="V18:V67 V69:V118" xr:uid="{00000000-0002-0000-0200-000000000000}">
      <formula1>V18&lt;=$V$15</formula1>
    </dataValidation>
    <dataValidation type="custom" allowBlank="1" showInputMessage="1" showErrorMessage="1" prompt="Score Entry - Enter learners' raw scores." sqref="I18:I67 I69:I118" xr:uid="{00000000-0002-0000-0200-000001000000}">
      <formula1>I18&lt;=$I$15</formula1>
    </dataValidation>
    <dataValidation type="custom" allowBlank="1" showInputMessage="1" showErrorMessage="1" prompt="Score Entry - Enter learners' raw scores." sqref="J18:J67 J69:J118" xr:uid="{00000000-0002-0000-0200-000002000000}">
      <formula1>J18&lt;=$J$15</formula1>
    </dataValidation>
    <dataValidation type="custom" allowBlank="1" showInputMessage="1" showErrorMessage="1" prompt="Score Entry - Enter learners' raw scores." sqref="P18:P67 P69:P118" xr:uid="{00000000-0002-0000-0200-000003000000}">
      <formula1>P18&lt;=$P$15</formula1>
    </dataValidation>
    <dataValidation type="custom" allowBlank="1" showInputMessage="1" showErrorMessage="1" prompt="Score Entry - Enter learners' raw scores." sqref="F18:F67 F69:F118" xr:uid="{00000000-0002-0000-0200-000004000000}">
      <formula1>F18&lt;=$F$15</formula1>
    </dataValidation>
    <dataValidation type="custom" allowBlank="1" showInputMessage="1" showErrorMessage="1" prompt="Score Entry - Enter learners' raw scores." sqref="N18:N67 N69:N118" xr:uid="{00000000-0002-0000-0200-000005000000}">
      <formula1>N18&lt;=$N$15</formula1>
    </dataValidation>
    <dataValidation type="custom" allowBlank="1" showInputMessage="1" showErrorMessage="1" prompt="Score Entry - Enter learners' raw scores." sqref="H18:H67 H69:H118" xr:uid="{00000000-0002-0000-0200-000006000000}">
      <formula1>H18&lt;=$H$15</formula1>
    </dataValidation>
    <dataValidation type="custom" allowBlank="1" showInputMessage="1" showErrorMessage="1" prompt="Score Entry - Enter learners' raw scores." sqref="T18:T67 T69:T118" xr:uid="{00000000-0002-0000-0200-000007000000}">
      <formula1>T18&lt;=$T$15</formula1>
    </dataValidation>
    <dataValidation type="custom" allowBlank="1" showInputMessage="1" showErrorMessage="1" prompt="Score Entry - Enter learners' raw scores." sqref="U18:U67 U69:U118" xr:uid="{00000000-0002-0000-0200-000008000000}">
      <formula1>U18&lt;=$U$15</formula1>
    </dataValidation>
    <dataValidation type="decimal" allowBlank="1" showInputMessage="1" showErrorMessage="1" prompt="Highest Possible Score - Enter HPS." sqref="F15:J15 N15:P15 T15:V15" xr:uid="{00000000-0002-0000-0200-000009000000}">
      <formula1>0</formula1>
      <formula2>1000</formula2>
    </dataValidation>
    <dataValidation type="custom" allowBlank="1" showInputMessage="1" showErrorMessage="1" prompt="Score Entry - Enter learners' raw scores." sqref="G18:G67 G69:G118" xr:uid="{00000000-0002-0000-0200-00000A000000}">
      <formula1>G18&lt;=$G$15</formula1>
    </dataValidation>
    <dataValidation type="custom" allowBlank="1" showInputMessage="1" showErrorMessage="1" prompt="Score Entry - Enter learners' raw scores." sqref="O18:O67 O69:O118" xr:uid="{00000000-0002-0000-0200-00000B000000}">
      <formula1>O18&lt;=$O$15</formula1>
    </dataValidation>
  </dataValidations>
  <pageMargins left="0.23622047244094491" right="0.23622047244094491" top="0.39370078740157483" bottom="0.39370078740157483" header="0" footer="0"/>
  <pageSetup paperSize="9" fitToHeight="0"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FF00"/>
    <outlinePr summaryBelow="0" summaryRight="0"/>
    <pageSetUpPr fitToPage="1"/>
  </sheetPr>
  <dimension ref="A1:AF1000"/>
  <sheetViews>
    <sheetView showGridLines="0" workbookViewId="0">
      <pane ySplit="15" topLeftCell="A16" activePane="bottomLeft" state="frozen"/>
      <selection pane="bottomLeft" activeCell="B17" sqref="B17"/>
    </sheetView>
  </sheetViews>
  <sheetFormatPr baseColWidth="10" defaultColWidth="12.6640625" defaultRowHeight="15" customHeight="1" x14ac:dyDescent="0.15"/>
  <cols>
    <col min="1" max="2" width="3.83203125" customWidth="1"/>
    <col min="3" max="5" width="12.6640625" customWidth="1"/>
    <col min="6" max="10" width="3.83203125" customWidth="1"/>
    <col min="11" max="11" width="5.1640625" customWidth="1"/>
    <col min="12" max="12" width="5.6640625" customWidth="1"/>
    <col min="13" max="13" width="6.33203125" customWidth="1"/>
    <col min="14" max="16" width="3.83203125" customWidth="1"/>
    <col min="17" max="17" width="5.1640625" customWidth="1"/>
    <col min="18" max="18" width="5.6640625" customWidth="1"/>
    <col min="19" max="19" width="6.33203125" customWidth="1"/>
    <col min="20" max="22" width="5.6640625" customWidth="1"/>
    <col min="23" max="25" width="8" customWidth="1"/>
    <col min="26" max="27" width="5.6640625" customWidth="1"/>
    <col min="28" max="28" width="7.33203125" customWidth="1"/>
    <col min="29" max="29" width="10.1640625" customWidth="1"/>
    <col min="30" max="30" width="14.5" customWidth="1"/>
    <col min="31" max="31" width="12.6640625" customWidth="1"/>
    <col min="32" max="32" width="3.83203125" customWidth="1"/>
  </cols>
  <sheetData>
    <row r="1" spans="1:32" ht="15.75" customHeight="1" x14ac:dyDescent="0.3">
      <c r="A1" s="1"/>
      <c r="B1" s="2"/>
      <c r="C1" s="2"/>
      <c r="D1" s="2"/>
      <c r="E1" s="2"/>
      <c r="F1" s="2"/>
      <c r="G1" s="2"/>
      <c r="H1" s="2"/>
      <c r="I1" s="2"/>
      <c r="J1" s="2"/>
      <c r="K1" s="2"/>
      <c r="L1" s="2"/>
      <c r="M1" s="2"/>
      <c r="N1" s="2"/>
      <c r="O1" s="2"/>
      <c r="P1" s="2"/>
      <c r="Q1" s="2"/>
      <c r="R1" s="2"/>
      <c r="S1" s="2"/>
      <c r="T1" s="2"/>
      <c r="U1" s="2"/>
      <c r="V1" s="2"/>
      <c r="W1" s="2"/>
      <c r="X1" s="2"/>
      <c r="Y1" s="2"/>
      <c r="Z1" s="2"/>
      <c r="AA1" s="2"/>
      <c r="AB1" s="2"/>
      <c r="AC1" s="2"/>
      <c r="AD1" s="2"/>
      <c r="AE1" s="2"/>
      <c r="AF1" s="5"/>
    </row>
    <row r="2" spans="1:32" ht="15.75" customHeight="1" x14ac:dyDescent="0.15">
      <c r="A2" s="2"/>
      <c r="B2" s="227" t="s">
        <v>1</v>
      </c>
      <c r="C2" s="194"/>
      <c r="D2" s="194"/>
      <c r="E2" s="194"/>
      <c r="F2" s="194"/>
      <c r="G2" s="194"/>
      <c r="H2" s="194"/>
      <c r="I2" s="194"/>
      <c r="J2" s="194"/>
      <c r="K2" s="194"/>
      <c r="L2" s="194"/>
      <c r="M2" s="194"/>
      <c r="N2" s="194"/>
      <c r="O2" s="194"/>
      <c r="P2" s="194"/>
      <c r="Q2" s="194"/>
      <c r="R2" s="194"/>
      <c r="S2" s="194"/>
      <c r="T2" s="194"/>
      <c r="U2" s="194"/>
      <c r="V2" s="194"/>
      <c r="W2" s="194"/>
      <c r="X2" s="194"/>
      <c r="Y2" s="194"/>
      <c r="Z2" s="194"/>
      <c r="AA2" s="194"/>
      <c r="AB2" s="194"/>
      <c r="AC2" s="194"/>
      <c r="AD2" s="194"/>
      <c r="AE2" s="2"/>
      <c r="AF2" s="5"/>
    </row>
    <row r="3" spans="1:32" ht="15.75" customHeight="1" x14ac:dyDescent="0.15">
      <c r="A3" s="2"/>
      <c r="B3" s="194"/>
      <c r="C3" s="194"/>
      <c r="D3" s="194"/>
      <c r="E3" s="194"/>
      <c r="F3" s="194"/>
      <c r="G3" s="194"/>
      <c r="H3" s="194"/>
      <c r="I3" s="194"/>
      <c r="J3" s="194"/>
      <c r="K3" s="194"/>
      <c r="L3" s="194"/>
      <c r="M3" s="194"/>
      <c r="N3" s="194"/>
      <c r="O3" s="194"/>
      <c r="P3" s="194"/>
      <c r="Q3" s="194"/>
      <c r="R3" s="194"/>
      <c r="S3" s="194"/>
      <c r="T3" s="194"/>
      <c r="U3" s="194"/>
      <c r="V3" s="194"/>
      <c r="W3" s="194"/>
      <c r="X3" s="194"/>
      <c r="Y3" s="194"/>
      <c r="Z3" s="194"/>
      <c r="AA3" s="194"/>
      <c r="AB3" s="194"/>
      <c r="AC3" s="194"/>
      <c r="AD3" s="194"/>
      <c r="AE3" s="2"/>
      <c r="AF3" s="5"/>
    </row>
    <row r="4" spans="1:32" ht="15.75" customHeight="1" x14ac:dyDescent="0.15">
      <c r="A4" s="2"/>
      <c r="B4" s="2"/>
      <c r="C4" s="2"/>
      <c r="D4" s="2"/>
      <c r="E4" s="2"/>
      <c r="F4" s="2"/>
      <c r="G4" s="2"/>
      <c r="H4" s="2"/>
      <c r="I4" s="2"/>
      <c r="J4" s="2"/>
      <c r="K4" s="2"/>
      <c r="L4" s="2"/>
      <c r="M4" s="2"/>
      <c r="N4" s="2"/>
      <c r="O4" s="2"/>
      <c r="P4" s="2"/>
      <c r="Q4" s="2"/>
      <c r="R4" s="2"/>
      <c r="S4" s="2"/>
      <c r="T4" s="2"/>
      <c r="U4" s="2"/>
      <c r="V4" s="2"/>
      <c r="W4" s="2"/>
      <c r="X4" s="2"/>
      <c r="Y4" s="2"/>
      <c r="Z4" s="2"/>
      <c r="AA4" s="2"/>
      <c r="AB4" s="2"/>
      <c r="AC4" s="2"/>
      <c r="AD4" s="2"/>
      <c r="AE4" s="2"/>
      <c r="AF4" s="5"/>
    </row>
    <row r="5" spans="1:32" ht="15.75" customHeight="1" x14ac:dyDescent="0.2">
      <c r="A5" s="3"/>
      <c r="B5" s="3"/>
      <c r="C5" s="3"/>
      <c r="D5" s="3"/>
      <c r="E5" s="7" t="s">
        <v>4</v>
      </c>
      <c r="F5" s="228" t="str">
        <f>IF('INPUT DATA'!E10="","",'INPUT DATA'!E10)</f>
      </c>
      <c r="G5" s="196"/>
      <c r="H5" s="196"/>
      <c r="I5" s="196"/>
      <c r="J5" s="196"/>
      <c r="K5" s="196"/>
      <c r="L5" s="197"/>
      <c r="M5" s="3"/>
      <c r="N5" s="3"/>
      <c r="O5" s="3"/>
      <c r="P5" s="3"/>
      <c r="Q5" s="7" t="s">
        <v>8</v>
      </c>
      <c r="R5" s="228" t="str">
        <f>IF('INPUT DATA'!E11="","",'INPUT DATA'!E11)</f>
      </c>
      <c r="S5" s="196"/>
      <c r="T5" s="196"/>
      <c r="U5" s="196"/>
      <c r="V5" s="197"/>
      <c r="W5" s="3"/>
      <c r="X5" s="3"/>
      <c r="Y5" s="7" t="s">
        <v>9</v>
      </c>
      <c r="Z5" s="228">
        <f>IF('INPUT DATA'!E13="","",'INPUT DATA'!E13)</f>
      </c>
      <c r="AA5" s="196"/>
      <c r="AB5" s="197"/>
      <c r="AC5" s="3"/>
      <c r="AD5" s="3"/>
      <c r="AE5" s="3"/>
      <c r="AF5" s="4"/>
    </row>
    <row r="6" spans="1:32" ht="6" customHeight="1" x14ac:dyDescent="0.2">
      <c r="A6" s="3"/>
      <c r="B6" s="3"/>
      <c r="C6" s="3"/>
      <c r="D6" s="3"/>
      <c r="E6" s="7"/>
      <c r="F6" s="16"/>
      <c r="G6" s="18"/>
      <c r="H6" s="18"/>
      <c r="I6" s="18"/>
      <c r="J6" s="18"/>
      <c r="K6" s="18"/>
      <c r="L6" s="18"/>
      <c r="M6" s="3"/>
      <c r="N6" s="3"/>
      <c r="O6" s="3"/>
      <c r="P6" s="3"/>
      <c r="Q6" s="7"/>
      <c r="R6" s="16"/>
      <c r="S6" s="18"/>
      <c r="T6" s="18"/>
      <c r="U6" s="18"/>
      <c r="V6" s="18"/>
      <c r="W6" s="3"/>
      <c r="X6" s="3"/>
      <c r="Y6" s="7"/>
      <c r="Z6" s="16"/>
      <c r="AA6" s="18"/>
      <c r="AB6" s="18"/>
      <c r="AC6" s="3"/>
      <c r="AD6" s="3"/>
      <c r="AE6" s="3"/>
      <c r="AF6" s="4"/>
    </row>
    <row r="7" spans="1:32" ht="15.75" customHeight="1" x14ac:dyDescent="0.2">
      <c r="A7" s="3"/>
      <c r="B7" s="3"/>
      <c r="C7" s="3"/>
      <c r="D7" s="3"/>
      <c r="E7" s="7" t="s">
        <v>10</v>
      </c>
      <c r="F7" s="228" t="str">
        <f>IF('INPUT DATA'!E14="","",'INPUT DATA'!E14)</f>
      </c>
      <c r="G7" s="196"/>
      <c r="H7" s="196"/>
      <c r="I7" s="196"/>
      <c r="J7" s="196"/>
      <c r="K7" s="196"/>
      <c r="L7" s="196"/>
      <c r="M7" s="196"/>
      <c r="N7" s="196"/>
      <c r="O7" s="196"/>
      <c r="P7" s="196"/>
      <c r="Q7" s="196"/>
      <c r="R7" s="196"/>
      <c r="S7" s="196"/>
      <c r="T7" s="196"/>
      <c r="U7" s="196"/>
      <c r="V7" s="197"/>
      <c r="W7" s="3"/>
      <c r="X7" s="3"/>
      <c r="Y7" s="7" t="s">
        <v>11</v>
      </c>
      <c r="Z7" s="228" t="str">
        <f>IF('INPUT DATA'!E15="","",'INPUT DATA'!E15)</f>
      </c>
      <c r="AA7" s="196"/>
      <c r="AB7" s="197"/>
      <c r="AC7" s="3"/>
      <c r="AD7" s="3"/>
      <c r="AE7" s="3"/>
      <c r="AF7" s="4"/>
    </row>
    <row r="8" spans="1:32" ht="15.75" customHeight="1" x14ac:dyDescent="0.15">
      <c r="A8" s="3"/>
      <c r="B8" s="3"/>
      <c r="C8" s="3"/>
      <c r="D8" s="3"/>
      <c r="E8" s="3"/>
      <c r="F8" s="3"/>
      <c r="G8" s="3"/>
      <c r="H8" s="3"/>
      <c r="I8" s="3"/>
      <c r="J8" s="3"/>
      <c r="K8" s="3"/>
      <c r="L8" s="3"/>
      <c r="M8" s="3"/>
      <c r="N8" s="3"/>
      <c r="O8" s="3"/>
      <c r="P8" s="3"/>
      <c r="Q8" s="3"/>
      <c r="R8" s="3"/>
      <c r="S8" s="3"/>
      <c r="T8" s="3"/>
      <c r="U8" s="3"/>
      <c r="V8" s="3"/>
      <c r="W8" s="3"/>
      <c r="X8" s="3"/>
      <c r="Y8" s="3"/>
      <c r="Z8" s="3"/>
      <c r="AA8" s="3"/>
      <c r="AB8" s="3"/>
      <c r="AC8" s="3"/>
      <c r="AD8" s="3"/>
      <c r="AE8" s="3"/>
      <c r="AF8" s="4"/>
    </row>
    <row r="9" spans="1:32" ht="15.75" customHeight="1" x14ac:dyDescent="0.2">
      <c r="A9" s="3"/>
      <c r="B9" s="229"/>
      <c r="C9" s="196"/>
      <c r="D9" s="196"/>
      <c r="E9" s="196"/>
      <c r="F9" s="196"/>
      <c r="G9" s="196"/>
      <c r="H9" s="196"/>
      <c r="I9" s="196"/>
      <c r="J9" s="196"/>
      <c r="K9" s="196"/>
      <c r="L9" s="196"/>
      <c r="M9" s="196"/>
      <c r="N9" s="196"/>
      <c r="O9" s="196"/>
      <c r="P9" s="196"/>
      <c r="Q9" s="196"/>
      <c r="R9" s="196"/>
      <c r="S9" s="196"/>
      <c r="T9" s="196"/>
      <c r="U9" s="196"/>
      <c r="V9" s="196"/>
      <c r="W9" s="196"/>
      <c r="X9" s="196"/>
      <c r="Y9" s="196"/>
      <c r="Z9" s="196"/>
      <c r="AA9" s="196"/>
      <c r="AB9" s="196"/>
      <c r="AC9" s="196"/>
      <c r="AD9" s="197"/>
      <c r="AE9" s="3"/>
      <c r="AF9" s="4"/>
    </row>
    <row r="10" spans="1:32" ht="15.75" customHeight="1" x14ac:dyDescent="0.15">
      <c r="A10" s="3"/>
      <c r="B10" s="213" t="s">
        <v>14</v>
      </c>
      <c r="C10" s="208"/>
      <c r="D10" s="208"/>
      <c r="E10" s="209"/>
      <c r="F10" s="219" t="s">
        <v>15</v>
      </c>
      <c r="G10" s="204"/>
      <c r="H10" s="204"/>
      <c r="I10" s="205"/>
      <c r="J10" s="220">
        <f>IF('INPUT DATA'!E25="","",'INPUT DATA'!E25)</f>
      </c>
      <c r="K10" s="221"/>
      <c r="L10" s="221"/>
      <c r="M10" s="222"/>
      <c r="N10" s="223" t="s">
        <v>17</v>
      </c>
      <c r="O10" s="208"/>
      <c r="P10" s="209"/>
      <c r="Q10" s="207" t="str">
        <f>IF('INPUT DATA'!E23="","",'INPUT DATA'!E23)</f>
      </c>
      <c r="R10" s="208"/>
      <c r="S10" s="208"/>
      <c r="T10" s="208"/>
      <c r="U10" s="208"/>
      <c r="V10" s="208"/>
      <c r="W10" s="208"/>
      <c r="X10" s="209"/>
      <c r="Y10" s="223" t="s">
        <v>18</v>
      </c>
      <c r="Z10" s="224"/>
      <c r="AA10" s="207" t="str">
        <f>IF('INPUT DATA'!E24="","",'INPUT DATA'!E24)</f>
      </c>
      <c r="AB10" s="208"/>
      <c r="AC10" s="208"/>
      <c r="AD10" s="209"/>
      <c r="AE10" s="3"/>
      <c r="AF10" s="4"/>
    </row>
    <row r="11" spans="1:32" ht="15.75" customHeight="1" x14ac:dyDescent="0.15">
      <c r="A11" s="3"/>
      <c r="B11" s="214"/>
      <c r="C11" s="194"/>
      <c r="D11" s="194"/>
      <c r="E11" s="215"/>
      <c r="F11" s="230" t="s">
        <v>19</v>
      </c>
      <c r="G11" s="196"/>
      <c r="H11" s="196"/>
      <c r="I11" s="197"/>
      <c r="J11" s="231" t="str">
        <f>IF('INPUT DATA'!E26="","",'INPUT DATA'!E26)</f>
      </c>
      <c r="K11" s="196"/>
      <c r="L11" s="196"/>
      <c r="M11" s="197"/>
      <c r="N11" s="203"/>
      <c r="O11" s="204"/>
      <c r="P11" s="205"/>
      <c r="Q11" s="203"/>
      <c r="R11" s="204"/>
      <c r="S11" s="204"/>
      <c r="T11" s="204"/>
      <c r="U11" s="204"/>
      <c r="V11" s="204"/>
      <c r="W11" s="204"/>
      <c r="X11" s="205"/>
      <c r="Y11" s="203"/>
      <c r="Z11" s="225"/>
      <c r="AA11" s="203"/>
      <c r="AB11" s="204"/>
      <c r="AC11" s="204"/>
      <c r="AD11" s="205"/>
      <c r="AE11" s="3"/>
      <c r="AF11" s="4"/>
    </row>
    <row r="12" spans="1:32" ht="15.75" customHeight="1" x14ac:dyDescent="0.15">
      <c r="A12" s="3"/>
      <c r="B12" s="214"/>
      <c r="C12" s="194"/>
      <c r="D12" s="194"/>
      <c r="E12" s="215"/>
      <c r="F12" s="200" t="s">
        <v>21</v>
      </c>
      <c r="G12" s="201"/>
      <c r="H12" s="201"/>
      <c r="I12" s="201"/>
      <c r="J12" s="201"/>
      <c r="K12" s="201"/>
      <c r="L12" s="201"/>
      <c r="M12" s="202"/>
      <c r="N12" s="206" t="s">
        <v>22</v>
      </c>
      <c r="O12" s="201"/>
      <c r="P12" s="201"/>
      <c r="Q12" s="201"/>
      <c r="R12" s="201"/>
      <c r="S12" s="202"/>
      <c r="T12" s="206" t="s">
        <v>23</v>
      </c>
      <c r="U12" s="201"/>
      <c r="V12" s="201"/>
      <c r="W12" s="201"/>
      <c r="X12" s="201"/>
      <c r="Y12" s="201"/>
      <c r="Z12" s="201"/>
      <c r="AA12" s="202"/>
      <c r="AB12" s="210" t="s">
        <v>24</v>
      </c>
      <c r="AC12" s="210" t="s">
        <v>26</v>
      </c>
      <c r="AD12" s="210" t="s">
        <v>27</v>
      </c>
      <c r="AE12" s="3"/>
      <c r="AF12" s="4"/>
    </row>
    <row r="13" spans="1:32" ht="15.75" customHeight="1" x14ac:dyDescent="0.15">
      <c r="A13" s="3"/>
      <c r="B13" s="214"/>
      <c r="C13" s="194"/>
      <c r="D13" s="194"/>
      <c r="E13" s="215"/>
      <c r="F13" s="203"/>
      <c r="G13" s="204"/>
      <c r="H13" s="204"/>
      <c r="I13" s="204"/>
      <c r="J13" s="204"/>
      <c r="K13" s="204"/>
      <c r="L13" s="204"/>
      <c r="M13" s="205"/>
      <c r="N13" s="203"/>
      <c r="O13" s="204"/>
      <c r="P13" s="204"/>
      <c r="Q13" s="204"/>
      <c r="R13" s="204"/>
      <c r="S13" s="205"/>
      <c r="T13" s="203"/>
      <c r="U13" s="204"/>
      <c r="V13" s="204"/>
      <c r="W13" s="204"/>
      <c r="X13" s="204"/>
      <c r="Y13" s="204"/>
      <c r="Z13" s="204"/>
      <c r="AA13" s="205"/>
      <c r="AB13" s="211"/>
      <c r="AC13" s="211"/>
      <c r="AD13" s="211"/>
      <c r="AE13" s="3"/>
      <c r="AF13" s="4"/>
    </row>
    <row r="14" spans="1:32" ht="15.75" customHeight="1" x14ac:dyDescent="0.15">
      <c r="A14" s="3"/>
      <c r="B14" s="216"/>
      <c r="C14" s="217"/>
      <c r="D14" s="217"/>
      <c r="E14" s="218"/>
      <c r="F14" s="28">
        <v>1</v>
      </c>
      <c r="G14" s="29">
        <v>2</v>
      </c>
      <c r="H14" s="29">
        <v>3</v>
      </c>
      <c r="I14" s="29">
        <v>4</v>
      </c>
      <c r="J14" s="30">
        <v>5</v>
      </c>
      <c r="K14" s="31" t="s">
        <v>28</v>
      </c>
      <c r="L14" s="31" t="s">
        <v>29</v>
      </c>
      <c r="M14" s="31" t="s">
        <v>30</v>
      </c>
      <c r="N14" s="28">
        <v>1</v>
      </c>
      <c r="O14" s="29">
        <v>2</v>
      </c>
      <c r="P14" s="30">
        <v>3</v>
      </c>
      <c r="Q14" s="31" t="s">
        <v>28</v>
      </c>
      <c r="R14" s="31" t="s">
        <v>29</v>
      </c>
      <c r="S14" s="31" t="s">
        <v>30</v>
      </c>
      <c r="T14" s="28" t="s">
        <v>31</v>
      </c>
      <c r="U14" s="29" t="s">
        <v>32</v>
      </c>
      <c r="V14" s="30" t="s">
        <v>33</v>
      </c>
      <c r="W14" s="32" t="s">
        <v>34</v>
      </c>
      <c r="X14" s="33" t="s">
        <v>35</v>
      </c>
      <c r="Y14" s="34" t="s">
        <v>36</v>
      </c>
      <c r="Z14" s="31" t="s">
        <v>29</v>
      </c>
      <c r="AA14" s="31" t="s">
        <v>30</v>
      </c>
      <c r="AB14" s="211"/>
      <c r="AC14" s="211"/>
      <c r="AD14" s="211"/>
      <c r="AE14" s="3"/>
      <c r="AF14" s="4"/>
    </row>
    <row r="15" spans="1:32" ht="15.75" customHeight="1" x14ac:dyDescent="0.15">
      <c r="A15" s="3"/>
      <c r="B15" s="226" t="s">
        <v>37</v>
      </c>
      <c r="C15" s="196"/>
      <c r="D15" s="196"/>
      <c r="E15" s="197"/>
      <c r="F15" s="37"/>
      <c r="G15" s="38"/>
      <c r="H15" s="38"/>
      <c r="I15" s="38"/>
      <c r="J15" s="39"/>
      <c r="K15" s="40" t="str">
        <f>IF(COUNT(F15:J15)=0,"",SUM(F15:J15))</f>
      </c>
      <c r="L15" s="41">
        <v>100</v>
      </c>
      <c r="M15" s="43">
        <v>0.2</v>
      </c>
      <c r="N15" s="37"/>
      <c r="O15" s="38"/>
      <c r="P15" s="39"/>
      <c r="Q15" s="40" t="str">
        <f>IF(COUNT(N15:P15)=0,"",SUM(N15:P15))</f>
      </c>
      <c r="R15" s="45">
        <v>100</v>
      </c>
      <c r="S15" s="46">
        <v>0.5</v>
      </c>
      <c r="T15" s="37"/>
      <c r="U15" s="38"/>
      <c r="V15" s="39"/>
      <c r="W15" s="47">
        <v>30</v>
      </c>
      <c r="X15" s="48">
        <v>30</v>
      </c>
      <c r="Y15" s="49">
        <v>40</v>
      </c>
      <c r="Z15" s="45">
        <v>100</v>
      </c>
      <c r="AA15" s="46">
        <v>0.3</v>
      </c>
      <c r="AB15" s="212"/>
      <c r="AC15" s="212"/>
      <c r="AD15" s="212"/>
      <c r="AE15" s="3"/>
      <c r="AF15" s="4"/>
    </row>
    <row r="16" spans="1:32" ht="15.75" customHeight="1" x14ac:dyDescent="0.15">
      <c r="A16" s="3"/>
      <c r="B16" s="195" t="s">
        <v>3</v>
      </c>
      <c r="C16" s="196"/>
      <c r="D16" s="196"/>
      <c r="E16" s="196"/>
      <c r="F16" s="196"/>
      <c r="G16" s="196"/>
      <c r="H16" s="196"/>
      <c r="I16" s="196"/>
      <c r="J16" s="196"/>
      <c r="K16" s="196"/>
      <c r="L16" s="196"/>
      <c r="M16" s="196"/>
      <c r="N16" s="196"/>
      <c r="O16" s="196"/>
      <c r="P16" s="196"/>
      <c r="Q16" s="196"/>
      <c r="R16" s="196"/>
      <c r="S16" s="196"/>
      <c r="T16" s="196"/>
      <c r="U16" s="196"/>
      <c r="V16" s="196"/>
      <c r="W16" s="196"/>
      <c r="X16" s="196"/>
      <c r="Y16" s="196"/>
      <c r="Z16" s="196"/>
      <c r="AA16" s="196"/>
      <c r="AB16" s="196"/>
      <c r="AC16" s="196"/>
      <c r="AD16" s="197"/>
      <c r="AE16" s="3"/>
      <c r="AF16" s="4"/>
    </row>
    <row r="17" spans="1:32" ht="15.75" customHeight="1" x14ac:dyDescent="0.15">
      <c r="A17" s="3"/>
      <c r="B17" s="198" t="s">
        <v>6</v>
      </c>
      <c r="C17" s="196"/>
      <c r="D17" s="196"/>
      <c r="E17" s="196"/>
      <c r="F17" s="196"/>
      <c r="G17" s="196"/>
      <c r="H17" s="196"/>
      <c r="I17" s="196"/>
      <c r="J17" s="196"/>
      <c r="K17" s="196"/>
      <c r="L17" s="196"/>
      <c r="M17" s="196"/>
      <c r="N17" s="196"/>
      <c r="O17" s="196"/>
      <c r="P17" s="196"/>
      <c r="Q17" s="196"/>
      <c r="R17" s="196"/>
      <c r="S17" s="196"/>
      <c r="T17" s="196"/>
      <c r="U17" s="196"/>
      <c r="V17" s="196"/>
      <c r="W17" s="196"/>
      <c r="X17" s="196"/>
      <c r="Y17" s="196"/>
      <c r="Z17" s="196"/>
      <c r="AA17" s="196"/>
      <c r="AB17" s="196"/>
      <c r="AC17" s="196"/>
      <c r="AD17" s="197"/>
      <c r="AE17" s="3"/>
      <c r="AF17" s="4"/>
    </row>
    <row r="18" spans="1:32" ht="15" customHeight="1" x14ac:dyDescent="0.15">
      <c r="A18" s="3"/>
      <c r="B18" s="53">
        <v>1</v>
      </c>
      <c r="C18" s="199" t="str">
        <f>IF('INPUT DATA'!K11="","",'INPUT DATA'!K11)</f>
      </c>
      <c r="D18" s="185"/>
      <c r="E18" s="186"/>
      <c r="F18" s="54"/>
      <c r="G18" s="55"/>
      <c r="H18" s="55"/>
      <c r="I18" s="55"/>
      <c r="J18" s="56"/>
      <c r="K18" s="57" t="str">
        <f t="shared" ref="K18:K67" si="0">IF(COUNT($F18:$J18)=0,"",SUM($F18:$J18))</f>
      </c>
      <c r="L18" s="58" t="str">
        <f t="shared" ref="L18:L67" si="1">IF(COUNT(F18:J18)=0,"",IFERROR(K18/$K$15*$L$15,""))</f>
      </c>
      <c r="M18" s="60" t="str">
        <f t="shared" ref="M18:M67" si="2">IF(L18="","",L18*$M$15)</f>
      </c>
      <c r="N18" s="54"/>
      <c r="O18" s="55"/>
      <c r="P18" s="56"/>
      <c r="Q18" s="57" t="str">
        <f t="shared" ref="Q18:Q67" si="3">IF(COUNT(N18:P18)=0,"",SUM(N18:P18))</f>
      </c>
      <c r="R18" s="59" t="str">
        <f t="shared" ref="R18:R67" si="4">IF(COUNT(N18:P18)=0,"",IFERROR(Q18/$Q$15*$R$15,""))</f>
      </c>
      <c r="S18" s="60" t="str">
        <f t="shared" ref="S18:S67" si="5">IF(R18="","",R18*$S$15)</f>
      </c>
      <c r="T18" s="54"/>
      <c r="U18" s="55"/>
      <c r="V18" s="56"/>
      <c r="W18" s="61" t="str">
        <f t="shared" ref="W18:W67" si="6">IF(T18="","",IFERROR(T18/$T$15*$W$15,""))</f>
      </c>
      <c r="X18" s="62" t="str">
        <f t="shared" ref="X18:X67" si="7">IF(U18="","",IFERROR(U18/$U$15*$X$15,""))</f>
      </c>
      <c r="Y18" s="63" t="str">
        <f t="shared" ref="Y18:Y67" si="8">IF(V18="","",IFERROR(V18/$V$15*$Y$15,""))</f>
      </c>
      <c r="Z18" s="64" t="str">
        <f t="shared" ref="Z18:Z67" si="9">IF(COUNT(T18:V18)=0,"",SUM(W18:Y18))</f>
      </c>
      <c r="AA18" s="65" t="str">
        <f t="shared" ref="AA18:AA67" si="10">IF(Z18="","",Z18*$AA$15)</f>
      </c>
      <c r="AB18" s="66" t="str">
        <f t="shared" ref="AB18:AB67" si="11">IF(COUNT(F18:J18,N18:P18,T18:V18)=0,"",SUM(M18,S18,AA18))</f>
      </c>
      <c r="AC18" s="67" t="str">
        <f t="array" ref="AC18">IF(AB18="","",IFERROR(INDEX(HELPER!$D$8:$D$48,IF(AB18&gt;=HELPER!$B$8,1,MATCH(AB18,HELPER!$B$8:$B$48,-1)+1)),""))</f>
      </c>
      <c r="AD18" s="68" t="str">
        <f>IF(AC18="","",IFERROR(VLOOKUP(AC18,HELPER!$F$8:$G$48,2,FALSE),""))</f>
      </c>
      <c r="AE18" s="3"/>
      <c r="AF18" s="4"/>
    </row>
    <row r="19" spans="1:32" ht="15" customHeight="1" x14ac:dyDescent="0.15">
      <c r="A19" s="3"/>
      <c r="B19" s="69">
        <v>2</v>
      </c>
      <c r="C19" s="199" t="str">
        <f>IF('INPUT DATA'!K12="","",'INPUT DATA'!K12)</f>
      </c>
      <c r="D19" s="185"/>
      <c r="E19" s="186"/>
      <c r="F19" s="70"/>
      <c r="G19" s="71"/>
      <c r="H19" s="71"/>
      <c r="I19" s="71"/>
      <c r="J19" s="72"/>
      <c r="K19" s="73" t="str">
        <f t="shared" si="0"/>
      </c>
      <c r="L19" s="76" t="str">
        <f t="shared" si="1"/>
      </c>
      <c r="M19" s="75" t="str">
        <f t="shared" si="2"/>
      </c>
      <c r="N19" s="70"/>
      <c r="O19" s="71"/>
      <c r="P19" s="72"/>
      <c r="Q19" s="73" t="str">
        <f t="shared" si="3"/>
      </c>
      <c r="R19" s="74" t="str">
        <f t="shared" si="4"/>
      </c>
      <c r="S19" s="75" t="str">
        <f t="shared" si="5"/>
      </c>
      <c r="T19" s="70"/>
      <c r="U19" s="71"/>
      <c r="V19" s="72"/>
      <c r="W19" s="77" t="str">
        <f t="shared" si="6"/>
      </c>
      <c r="X19" s="74" t="str">
        <f t="shared" si="7"/>
      </c>
      <c r="Y19" s="75" t="str">
        <f t="shared" si="8"/>
      </c>
      <c r="Z19" s="78" t="str">
        <f t="shared" si="9"/>
      </c>
      <c r="AA19" s="79" t="str">
        <f t="shared" si="10"/>
      </c>
      <c r="AB19" s="80" t="str">
        <f t="shared" si="11"/>
      </c>
      <c r="AC19" s="81" t="str">
        <f t="array" ref="AC19">IF(AB19="","",IFERROR(INDEX(HELPER!$D$8:$D$48,IF(AB19&gt;=HELPER!$B$8,1,MATCH(AB19,HELPER!$B$8:$B$48,-1)+1)),""))</f>
      </c>
      <c r="AD19" s="82" t="str">
        <f>IF(AC19="","",IFERROR(VLOOKUP(AC19,HELPER!$F$8:$G$48,2,FALSE),""))</f>
      </c>
      <c r="AE19" s="3"/>
      <c r="AF19" s="4"/>
    </row>
    <row r="20" spans="1:32" ht="15" customHeight="1" x14ac:dyDescent="0.15">
      <c r="A20" s="3"/>
      <c r="B20" s="69">
        <v>3</v>
      </c>
      <c r="C20" s="199" t="str">
        <f>IF('INPUT DATA'!K13="","",'INPUT DATA'!K13)</f>
      </c>
      <c r="D20" s="185"/>
      <c r="E20" s="186"/>
      <c r="F20" s="70"/>
      <c r="G20" s="71"/>
      <c r="H20" s="71"/>
      <c r="I20" s="71"/>
      <c r="J20" s="72"/>
      <c r="K20" s="73" t="str">
        <f t="shared" si="0"/>
      </c>
      <c r="L20" s="76" t="str">
        <f t="shared" si="1"/>
      </c>
      <c r="M20" s="75" t="str">
        <f t="shared" si="2"/>
      </c>
      <c r="N20" s="70"/>
      <c r="O20" s="71"/>
      <c r="P20" s="72"/>
      <c r="Q20" s="73" t="str">
        <f t="shared" si="3"/>
      </c>
      <c r="R20" s="74" t="str">
        <f t="shared" si="4"/>
      </c>
      <c r="S20" s="75" t="str">
        <f t="shared" si="5"/>
      </c>
      <c r="T20" s="70"/>
      <c r="U20" s="71"/>
      <c r="V20" s="72"/>
      <c r="W20" s="77" t="str">
        <f t="shared" si="6"/>
      </c>
      <c r="X20" s="74" t="str">
        <f t="shared" si="7"/>
      </c>
      <c r="Y20" s="75" t="str">
        <f t="shared" si="8"/>
      </c>
      <c r="Z20" s="78" t="str">
        <f t="shared" si="9"/>
      </c>
      <c r="AA20" s="79" t="str">
        <f t="shared" si="10"/>
      </c>
      <c r="AB20" s="80" t="str">
        <f t="shared" si="11"/>
      </c>
      <c r="AC20" s="81" t="str">
        <f t="array" ref="AC20">IF(AB20="","",IFERROR(INDEX(HELPER!$D$8:$D$48,IF(AB20&gt;=HELPER!$B$8,1,MATCH(AB20,HELPER!$B$8:$B$48,-1)+1)),""))</f>
      </c>
      <c r="AD20" s="82" t="str">
        <f>IF(AC20="","",IFERROR(VLOOKUP(AC20,HELPER!$F$8:$G$48,2,FALSE),""))</f>
      </c>
      <c r="AE20" s="3"/>
      <c r="AF20" s="4"/>
    </row>
    <row r="21" spans="1:32" ht="15" customHeight="1" x14ac:dyDescent="0.15">
      <c r="A21" s="3"/>
      <c r="B21" s="69">
        <v>4</v>
      </c>
      <c r="C21" s="199" t="str">
        <f>IF('INPUT DATA'!K14="","",'INPUT DATA'!K14)</f>
      </c>
      <c r="D21" s="185"/>
      <c r="E21" s="186"/>
      <c r="F21" s="70"/>
      <c r="G21" s="71"/>
      <c r="H21" s="71"/>
      <c r="I21" s="71"/>
      <c r="J21" s="72"/>
      <c r="K21" s="73" t="str">
        <f t="shared" si="0"/>
      </c>
      <c r="L21" s="76" t="str">
        <f t="shared" si="1"/>
      </c>
      <c r="M21" s="75" t="str">
        <f t="shared" si="2"/>
      </c>
      <c r="N21" s="70"/>
      <c r="O21" s="71"/>
      <c r="P21" s="72"/>
      <c r="Q21" s="73" t="str">
        <f t="shared" si="3"/>
      </c>
      <c r="R21" s="74" t="str">
        <f t="shared" si="4"/>
      </c>
      <c r="S21" s="75" t="str">
        <f t="shared" si="5"/>
      </c>
      <c r="T21" s="70"/>
      <c r="U21" s="71"/>
      <c r="V21" s="72"/>
      <c r="W21" s="77" t="str">
        <f t="shared" si="6"/>
      </c>
      <c r="X21" s="74" t="str">
        <f t="shared" si="7"/>
      </c>
      <c r="Y21" s="75" t="str">
        <f t="shared" si="8"/>
      </c>
      <c r="Z21" s="78" t="str">
        <f t="shared" si="9"/>
      </c>
      <c r="AA21" s="79" t="str">
        <f t="shared" si="10"/>
      </c>
      <c r="AB21" s="80" t="str">
        <f t="shared" si="11"/>
      </c>
      <c r="AC21" s="81" t="str">
        <f t="array" ref="AC21">IF(AB21="","",IFERROR(INDEX(HELPER!$D$8:$D$48,IF(AB21&gt;=HELPER!$B$8,1,MATCH(AB21,HELPER!$B$8:$B$48,-1)+1)),""))</f>
      </c>
      <c r="AD21" s="82" t="str">
        <f>IF(AC21="","",IFERROR(VLOOKUP(AC21,HELPER!$F$8:$G$48,2,FALSE),""))</f>
      </c>
      <c r="AE21" s="3"/>
      <c r="AF21" s="4"/>
    </row>
    <row r="22" spans="1:32" ht="15" customHeight="1" x14ac:dyDescent="0.15">
      <c r="A22" s="3"/>
      <c r="B22" s="69">
        <v>5</v>
      </c>
      <c r="C22" s="184" t="str">
        <f>IF('INPUT DATA'!K15="","",'INPUT DATA'!K15)</f>
      </c>
      <c r="D22" s="185"/>
      <c r="E22" s="186"/>
      <c r="F22" s="70"/>
      <c r="G22" s="71"/>
      <c r="H22" s="71"/>
      <c r="I22" s="71"/>
      <c r="J22" s="72"/>
      <c r="K22" s="73" t="str">
        <f t="shared" si="0"/>
      </c>
      <c r="L22" s="76" t="str">
        <f t="shared" si="1"/>
      </c>
      <c r="M22" s="75" t="str">
        <f t="shared" si="2"/>
      </c>
      <c r="N22" s="70"/>
      <c r="O22" s="71"/>
      <c r="P22" s="72"/>
      <c r="Q22" s="73" t="str">
        <f t="shared" si="3"/>
      </c>
      <c r="R22" s="74" t="str">
        <f t="shared" si="4"/>
      </c>
      <c r="S22" s="75" t="str">
        <f t="shared" si="5"/>
      </c>
      <c r="T22" s="70"/>
      <c r="U22" s="71"/>
      <c r="V22" s="72"/>
      <c r="W22" s="77" t="str">
        <f t="shared" si="6"/>
      </c>
      <c r="X22" s="74" t="str">
        <f t="shared" si="7"/>
      </c>
      <c r="Y22" s="75" t="str">
        <f t="shared" si="8"/>
      </c>
      <c r="Z22" s="78" t="str">
        <f t="shared" si="9"/>
      </c>
      <c r="AA22" s="79" t="str">
        <f t="shared" si="10"/>
      </c>
      <c r="AB22" s="80" t="str">
        <f t="shared" si="11"/>
      </c>
      <c r="AC22" s="81" t="str">
        <f t="array" ref="AC22">IF(AB22="","",IFERROR(INDEX(HELPER!$D$8:$D$48,IF(AB22&gt;=HELPER!$B$8,1,MATCH(AB22,HELPER!$B$8:$B$48,-1)+1)),""))</f>
      </c>
      <c r="AD22" s="82" t="str">
        <f>IF(AC22="","",IFERROR(VLOOKUP(AC22,HELPER!$F$8:$G$48,2,FALSE),""))</f>
      </c>
      <c r="AE22" s="3"/>
      <c r="AF22" s="4"/>
    </row>
    <row r="23" spans="1:32" ht="15" customHeight="1" x14ac:dyDescent="0.15">
      <c r="A23" s="3"/>
      <c r="B23" s="69">
        <v>6</v>
      </c>
      <c r="C23" s="184" t="str">
        <f>IF('INPUT DATA'!K16="","",'INPUT DATA'!K16)</f>
      </c>
      <c r="D23" s="185"/>
      <c r="E23" s="186"/>
      <c r="F23" s="70"/>
      <c r="G23" s="71"/>
      <c r="H23" s="71"/>
      <c r="I23" s="71"/>
      <c r="J23" s="72"/>
      <c r="K23" s="73" t="str">
        <f t="shared" si="0"/>
      </c>
      <c r="L23" s="76" t="str">
        <f t="shared" si="1"/>
      </c>
      <c r="M23" s="75" t="str">
        <f t="shared" si="2"/>
      </c>
      <c r="N23" s="70"/>
      <c r="O23" s="71"/>
      <c r="P23" s="72"/>
      <c r="Q23" s="73" t="str">
        <f t="shared" si="3"/>
      </c>
      <c r="R23" s="74" t="str">
        <f t="shared" si="4"/>
      </c>
      <c r="S23" s="75" t="str">
        <f t="shared" si="5"/>
      </c>
      <c r="T23" s="70"/>
      <c r="U23" s="71"/>
      <c r="V23" s="72"/>
      <c r="W23" s="77" t="str">
        <f t="shared" si="6"/>
      </c>
      <c r="X23" s="74" t="str">
        <f t="shared" si="7"/>
      </c>
      <c r="Y23" s="75" t="str">
        <f t="shared" si="8"/>
      </c>
      <c r="Z23" s="78" t="str">
        <f t="shared" si="9"/>
      </c>
      <c r="AA23" s="79" t="str">
        <f t="shared" si="10"/>
      </c>
      <c r="AB23" s="80" t="str">
        <f t="shared" si="11"/>
      </c>
      <c r="AC23" s="81" t="str">
        <f t="array" ref="AC23">IF(AB23="","",IFERROR(INDEX(HELPER!$D$8:$D$48,IF(AB23&gt;=HELPER!$B$8,1,MATCH(AB23,HELPER!$B$8:$B$48,-1)+1)),""))</f>
      </c>
      <c r="AD23" s="82" t="str">
        <f>IF(AC23="","",IFERROR(VLOOKUP(AC23,HELPER!$F$8:$G$48,2,FALSE),""))</f>
      </c>
      <c r="AE23" s="3"/>
      <c r="AF23" s="4"/>
    </row>
    <row r="24" spans="1:32" ht="15" customHeight="1" x14ac:dyDescent="0.15">
      <c r="A24" s="3"/>
      <c r="B24" s="69">
        <v>7</v>
      </c>
      <c r="C24" s="184" t="str">
        <f>IF('INPUT DATA'!K17="","",'INPUT DATA'!K17)</f>
      </c>
      <c r="D24" s="185"/>
      <c r="E24" s="186"/>
      <c r="F24" s="70"/>
      <c r="G24" s="71"/>
      <c r="H24" s="71"/>
      <c r="I24" s="71"/>
      <c r="J24" s="72"/>
      <c r="K24" s="73" t="str">
        <f t="shared" si="0"/>
      </c>
      <c r="L24" s="76" t="str">
        <f t="shared" si="1"/>
      </c>
      <c r="M24" s="75" t="str">
        <f t="shared" si="2"/>
      </c>
      <c r="N24" s="70"/>
      <c r="O24" s="71"/>
      <c r="P24" s="72"/>
      <c r="Q24" s="73" t="str">
        <f t="shared" si="3"/>
      </c>
      <c r="R24" s="74" t="str">
        <f t="shared" si="4"/>
      </c>
      <c r="S24" s="75" t="str">
        <f t="shared" si="5"/>
      </c>
      <c r="T24" s="70"/>
      <c r="U24" s="71"/>
      <c r="V24" s="72"/>
      <c r="W24" s="77" t="str">
        <f t="shared" si="6"/>
      </c>
      <c r="X24" s="74" t="str">
        <f t="shared" si="7"/>
      </c>
      <c r="Y24" s="75" t="str">
        <f t="shared" si="8"/>
      </c>
      <c r="Z24" s="78" t="str">
        <f t="shared" si="9"/>
      </c>
      <c r="AA24" s="79" t="str">
        <f t="shared" si="10"/>
      </c>
      <c r="AB24" s="80" t="str">
        <f t="shared" si="11"/>
      </c>
      <c r="AC24" s="81" t="str">
        <f t="array" ref="AC24">IF(AB24="","",IFERROR(INDEX(HELPER!$D$8:$D$48,IF(AB24&gt;=HELPER!$B$8,1,MATCH(AB24,HELPER!$B$8:$B$48,-1)+1)),""))</f>
      </c>
      <c r="AD24" s="82" t="str">
        <f>IF(AC24="","",IFERROR(VLOOKUP(AC24,HELPER!$F$8:$G$48,2,FALSE),""))</f>
      </c>
      <c r="AE24" s="3"/>
      <c r="AF24" s="4"/>
    </row>
    <row r="25" spans="1:32" ht="15" customHeight="1" x14ac:dyDescent="0.15">
      <c r="A25" s="3"/>
      <c r="B25" s="69">
        <v>8</v>
      </c>
      <c r="C25" s="184" t="str">
        <f>IF('INPUT DATA'!K18="","",'INPUT DATA'!K18)</f>
      </c>
      <c r="D25" s="185"/>
      <c r="E25" s="186"/>
      <c r="F25" s="70"/>
      <c r="G25" s="71"/>
      <c r="H25" s="71"/>
      <c r="I25" s="71"/>
      <c r="J25" s="72"/>
      <c r="K25" s="73" t="str">
        <f t="shared" si="0"/>
      </c>
      <c r="L25" s="76" t="str">
        <f t="shared" si="1"/>
      </c>
      <c r="M25" s="75" t="str">
        <f t="shared" si="2"/>
      </c>
      <c r="N25" s="70"/>
      <c r="O25" s="71"/>
      <c r="P25" s="72"/>
      <c r="Q25" s="73" t="str">
        <f t="shared" si="3"/>
      </c>
      <c r="R25" s="74" t="str">
        <f t="shared" si="4"/>
      </c>
      <c r="S25" s="75" t="str">
        <f t="shared" si="5"/>
      </c>
      <c r="T25" s="70"/>
      <c r="U25" s="71"/>
      <c r="V25" s="72"/>
      <c r="W25" s="77" t="str">
        <f t="shared" si="6"/>
      </c>
      <c r="X25" s="74" t="str">
        <f t="shared" si="7"/>
      </c>
      <c r="Y25" s="75" t="str">
        <f t="shared" si="8"/>
      </c>
      <c r="Z25" s="78" t="str">
        <f t="shared" si="9"/>
      </c>
      <c r="AA25" s="79" t="str">
        <f t="shared" si="10"/>
      </c>
      <c r="AB25" s="80" t="str">
        <f t="shared" si="11"/>
      </c>
      <c r="AC25" s="81" t="str">
        <f t="array" ref="AC25">IF(AB25="","",IFERROR(INDEX(HELPER!$D$8:$D$48,IF(AB25&gt;=HELPER!$B$8,1,MATCH(AB25,HELPER!$B$8:$B$48,-1)+1)),""))</f>
      </c>
      <c r="AD25" s="82" t="str">
        <f>IF(AC25="","",IFERROR(VLOOKUP(AC25,HELPER!$F$8:$G$48,2,FALSE),""))</f>
      </c>
      <c r="AE25" s="3"/>
      <c r="AF25" s="4"/>
    </row>
    <row r="26" spans="1:32" ht="15" customHeight="1" x14ac:dyDescent="0.15">
      <c r="A26" s="3"/>
      <c r="B26" s="69">
        <v>9</v>
      </c>
      <c r="C26" s="184" t="str">
        <f>IF('INPUT DATA'!K19="","",'INPUT DATA'!K19)</f>
      </c>
      <c r="D26" s="185"/>
      <c r="E26" s="186"/>
      <c r="F26" s="70"/>
      <c r="G26" s="71"/>
      <c r="H26" s="71"/>
      <c r="I26" s="71"/>
      <c r="J26" s="72"/>
      <c r="K26" s="73" t="str">
        <f t="shared" si="0"/>
      </c>
      <c r="L26" s="76" t="str">
        <f t="shared" si="1"/>
      </c>
      <c r="M26" s="75" t="str">
        <f t="shared" si="2"/>
      </c>
      <c r="N26" s="70"/>
      <c r="O26" s="71"/>
      <c r="P26" s="72"/>
      <c r="Q26" s="73" t="str">
        <f t="shared" si="3"/>
      </c>
      <c r="R26" s="74" t="str">
        <f t="shared" si="4"/>
      </c>
      <c r="S26" s="75" t="str">
        <f t="shared" si="5"/>
      </c>
      <c r="T26" s="70"/>
      <c r="U26" s="71"/>
      <c r="V26" s="72"/>
      <c r="W26" s="77" t="str">
        <f t="shared" si="6"/>
      </c>
      <c r="X26" s="74" t="str">
        <f t="shared" si="7"/>
      </c>
      <c r="Y26" s="75" t="str">
        <f t="shared" si="8"/>
      </c>
      <c r="Z26" s="78" t="str">
        <f t="shared" si="9"/>
      </c>
      <c r="AA26" s="79" t="str">
        <f t="shared" si="10"/>
      </c>
      <c r="AB26" s="80" t="str">
        <f t="shared" si="11"/>
      </c>
      <c r="AC26" s="81" t="str">
        <f t="array" ref="AC26">IF(AB26="","",IFERROR(INDEX(HELPER!$D$8:$D$48,IF(AB26&gt;=HELPER!$B$8,1,MATCH(AB26,HELPER!$B$8:$B$48,-1)+1)),""))</f>
      </c>
      <c r="AD26" s="82" t="str">
        <f>IF(AC26="","",IFERROR(VLOOKUP(AC26,HELPER!$F$8:$G$48,2,FALSE),""))</f>
      </c>
      <c r="AE26" s="3"/>
      <c r="AF26" s="4"/>
    </row>
    <row r="27" spans="1:32" ht="15" customHeight="1" x14ac:dyDescent="0.15">
      <c r="A27" s="3"/>
      <c r="B27" s="69">
        <v>10</v>
      </c>
      <c r="C27" s="184" t="str">
        <f>IF('INPUT DATA'!K20="","",'INPUT DATA'!K20)</f>
      </c>
      <c r="D27" s="185"/>
      <c r="E27" s="186"/>
      <c r="F27" s="70"/>
      <c r="G27" s="71"/>
      <c r="H27" s="71"/>
      <c r="I27" s="71"/>
      <c r="J27" s="72"/>
      <c r="K27" s="73" t="str">
        <f t="shared" si="0"/>
      </c>
      <c r="L27" s="76" t="str">
        <f t="shared" si="1"/>
      </c>
      <c r="M27" s="75" t="str">
        <f t="shared" si="2"/>
      </c>
      <c r="N27" s="70"/>
      <c r="O27" s="71"/>
      <c r="P27" s="72"/>
      <c r="Q27" s="73" t="str">
        <f t="shared" si="3"/>
      </c>
      <c r="R27" s="74" t="str">
        <f t="shared" si="4"/>
      </c>
      <c r="S27" s="75" t="str">
        <f t="shared" si="5"/>
      </c>
      <c r="T27" s="70"/>
      <c r="U27" s="71"/>
      <c r="V27" s="72"/>
      <c r="W27" s="77" t="str">
        <f t="shared" si="6"/>
      </c>
      <c r="X27" s="74" t="str">
        <f t="shared" si="7"/>
      </c>
      <c r="Y27" s="75" t="str">
        <f t="shared" si="8"/>
      </c>
      <c r="Z27" s="78" t="str">
        <f t="shared" si="9"/>
      </c>
      <c r="AA27" s="79" t="str">
        <f t="shared" si="10"/>
      </c>
      <c r="AB27" s="80" t="str">
        <f t="shared" si="11"/>
      </c>
      <c r="AC27" s="81" t="str">
        <f t="array" ref="AC27">IF(AB27="","",IFERROR(INDEX(HELPER!$D$8:$D$48,IF(AB27&gt;=HELPER!$B$8,1,MATCH(AB27,HELPER!$B$8:$B$48,-1)+1)),""))</f>
      </c>
      <c r="AD27" s="82" t="str">
        <f>IF(AC27="","",IFERROR(VLOOKUP(AC27,HELPER!$F$8:$G$48,2,FALSE),""))</f>
      </c>
      <c r="AE27" s="3"/>
      <c r="AF27" s="4"/>
    </row>
    <row r="28" spans="1:32" ht="15" customHeight="1" x14ac:dyDescent="0.15">
      <c r="A28" s="3"/>
      <c r="B28" s="69">
        <v>11</v>
      </c>
      <c r="C28" s="184" t="str">
        <f>IF('INPUT DATA'!K21="","",'INPUT DATA'!K21)</f>
      </c>
      <c r="D28" s="185"/>
      <c r="E28" s="186"/>
      <c r="F28" s="70"/>
      <c r="G28" s="71"/>
      <c r="H28" s="71"/>
      <c r="I28" s="71"/>
      <c r="J28" s="72"/>
      <c r="K28" s="73" t="str">
        <f t="shared" si="0"/>
      </c>
      <c r="L28" s="76" t="str">
        <f t="shared" si="1"/>
      </c>
      <c r="M28" s="75" t="str">
        <f t="shared" si="2"/>
      </c>
      <c r="N28" s="70"/>
      <c r="O28" s="71"/>
      <c r="P28" s="72"/>
      <c r="Q28" s="73" t="str">
        <f t="shared" si="3"/>
      </c>
      <c r="R28" s="74" t="str">
        <f t="shared" si="4"/>
      </c>
      <c r="S28" s="75" t="str">
        <f t="shared" si="5"/>
      </c>
      <c r="T28" s="70"/>
      <c r="U28" s="71"/>
      <c r="V28" s="72"/>
      <c r="W28" s="77" t="str">
        <f t="shared" si="6"/>
      </c>
      <c r="X28" s="74" t="str">
        <f t="shared" si="7"/>
      </c>
      <c r="Y28" s="75" t="str">
        <f t="shared" si="8"/>
      </c>
      <c r="Z28" s="78" t="str">
        <f t="shared" si="9"/>
      </c>
      <c r="AA28" s="79" t="str">
        <f t="shared" si="10"/>
      </c>
      <c r="AB28" s="80" t="str">
        <f t="shared" si="11"/>
      </c>
      <c r="AC28" s="81" t="str">
        <f t="array" ref="AC28">IF(AB28="","",IFERROR(INDEX(HELPER!$D$8:$D$48,IF(AB28&gt;=HELPER!$B$8,1,MATCH(AB28,HELPER!$B$8:$B$48,-1)+1)),""))</f>
      </c>
      <c r="AD28" s="82" t="str">
        <f>IF(AC28="","",IFERROR(VLOOKUP(AC28,HELPER!$F$8:$G$48,2,FALSE),""))</f>
      </c>
      <c r="AE28" s="3"/>
      <c r="AF28" s="4"/>
    </row>
    <row r="29" spans="1:32" ht="15" customHeight="1" x14ac:dyDescent="0.15">
      <c r="A29" s="3"/>
      <c r="B29" s="69">
        <v>12</v>
      </c>
      <c r="C29" s="184" t="str">
        <f>IF('INPUT DATA'!K22="","",'INPUT DATA'!K22)</f>
      </c>
      <c r="D29" s="185"/>
      <c r="E29" s="186"/>
      <c r="F29" s="70"/>
      <c r="G29" s="71"/>
      <c r="H29" s="71"/>
      <c r="I29" s="71"/>
      <c r="J29" s="72"/>
      <c r="K29" s="73" t="str">
        <f t="shared" si="0"/>
      </c>
      <c r="L29" s="76" t="str">
        <f t="shared" si="1"/>
      </c>
      <c r="M29" s="75" t="str">
        <f t="shared" si="2"/>
      </c>
      <c r="N29" s="70"/>
      <c r="O29" s="71"/>
      <c r="P29" s="72"/>
      <c r="Q29" s="73" t="str">
        <f t="shared" si="3"/>
      </c>
      <c r="R29" s="74" t="str">
        <f t="shared" si="4"/>
      </c>
      <c r="S29" s="75" t="str">
        <f t="shared" si="5"/>
      </c>
      <c r="T29" s="70"/>
      <c r="U29" s="71"/>
      <c r="V29" s="72"/>
      <c r="W29" s="77" t="str">
        <f t="shared" si="6"/>
      </c>
      <c r="X29" s="74" t="str">
        <f t="shared" si="7"/>
      </c>
      <c r="Y29" s="75" t="str">
        <f t="shared" si="8"/>
      </c>
      <c r="Z29" s="78" t="str">
        <f t="shared" si="9"/>
      </c>
      <c r="AA29" s="79" t="str">
        <f t="shared" si="10"/>
      </c>
      <c r="AB29" s="80" t="str">
        <f t="shared" si="11"/>
      </c>
      <c r="AC29" s="81" t="str">
        <f t="array" ref="AC29">IF(AB29="","",IFERROR(INDEX(HELPER!$D$8:$D$48,IF(AB29&gt;=HELPER!$B$8,1,MATCH(AB29,HELPER!$B$8:$B$48,-1)+1)),""))</f>
      </c>
      <c r="AD29" s="82" t="str">
        <f>IF(AC29="","",IFERROR(VLOOKUP(AC29,HELPER!$F$8:$G$48,2,FALSE),""))</f>
      </c>
      <c r="AE29" s="3"/>
      <c r="AF29" s="4"/>
    </row>
    <row r="30" spans="1:32" ht="15" customHeight="1" x14ac:dyDescent="0.15">
      <c r="A30" s="3"/>
      <c r="B30" s="69">
        <v>13</v>
      </c>
      <c r="C30" s="184" t="str">
        <f>IF('INPUT DATA'!K23="","",'INPUT DATA'!K23)</f>
      </c>
      <c r="D30" s="185"/>
      <c r="E30" s="186"/>
      <c r="F30" s="70"/>
      <c r="G30" s="71"/>
      <c r="H30" s="71"/>
      <c r="I30" s="71"/>
      <c r="J30" s="72"/>
      <c r="K30" s="73" t="str">
        <f t="shared" si="0"/>
      </c>
      <c r="L30" s="76" t="str">
        <f t="shared" si="1"/>
      </c>
      <c r="M30" s="75" t="str">
        <f t="shared" si="2"/>
      </c>
      <c r="N30" s="70"/>
      <c r="O30" s="71"/>
      <c r="P30" s="72"/>
      <c r="Q30" s="73" t="str">
        <f t="shared" si="3"/>
      </c>
      <c r="R30" s="74" t="str">
        <f t="shared" si="4"/>
      </c>
      <c r="S30" s="75" t="str">
        <f t="shared" si="5"/>
      </c>
      <c r="T30" s="70"/>
      <c r="U30" s="71"/>
      <c r="V30" s="72"/>
      <c r="W30" s="77" t="str">
        <f t="shared" si="6"/>
      </c>
      <c r="X30" s="74" t="str">
        <f t="shared" si="7"/>
      </c>
      <c r="Y30" s="75" t="str">
        <f t="shared" si="8"/>
      </c>
      <c r="Z30" s="78" t="str">
        <f t="shared" si="9"/>
      </c>
      <c r="AA30" s="79" t="str">
        <f t="shared" si="10"/>
      </c>
      <c r="AB30" s="80" t="str">
        <f t="shared" si="11"/>
      </c>
      <c r="AC30" s="81" t="str">
        <f t="array" ref="AC30">IF(AB30="","",IFERROR(INDEX(HELPER!$D$8:$D$48,IF(AB30&gt;=HELPER!$B$8,1,MATCH(AB30,HELPER!$B$8:$B$48,-1)+1)),""))</f>
      </c>
      <c r="AD30" s="82" t="str">
        <f>IF(AC30="","",IFERROR(VLOOKUP(AC30,HELPER!$F$8:$G$48,2,FALSE),""))</f>
      </c>
      <c r="AE30" s="3"/>
      <c r="AF30" s="4"/>
    </row>
    <row r="31" spans="1:32" ht="15" customHeight="1" x14ac:dyDescent="0.15">
      <c r="A31" s="3"/>
      <c r="B31" s="69">
        <v>14</v>
      </c>
      <c r="C31" s="184" t="str">
        <f>IF('INPUT DATA'!K24="","",'INPUT DATA'!K24)</f>
      </c>
      <c r="D31" s="185"/>
      <c r="E31" s="186"/>
      <c r="F31" s="70"/>
      <c r="G31" s="71"/>
      <c r="H31" s="71"/>
      <c r="I31" s="71"/>
      <c r="J31" s="72"/>
      <c r="K31" s="73" t="str">
        <f t="shared" si="0"/>
      </c>
      <c r="L31" s="76" t="str">
        <f t="shared" si="1"/>
      </c>
      <c r="M31" s="75" t="str">
        <f t="shared" si="2"/>
      </c>
      <c r="N31" s="70"/>
      <c r="O31" s="71"/>
      <c r="P31" s="72"/>
      <c r="Q31" s="73" t="str">
        <f t="shared" si="3"/>
      </c>
      <c r="R31" s="74" t="str">
        <f t="shared" si="4"/>
      </c>
      <c r="S31" s="75" t="str">
        <f t="shared" si="5"/>
      </c>
      <c r="T31" s="70"/>
      <c r="U31" s="71"/>
      <c r="V31" s="72"/>
      <c r="W31" s="77" t="str">
        <f t="shared" si="6"/>
      </c>
      <c r="X31" s="74" t="str">
        <f t="shared" si="7"/>
      </c>
      <c r="Y31" s="75" t="str">
        <f t="shared" si="8"/>
      </c>
      <c r="Z31" s="78" t="str">
        <f t="shared" si="9"/>
      </c>
      <c r="AA31" s="79" t="str">
        <f t="shared" si="10"/>
      </c>
      <c r="AB31" s="80" t="str">
        <f t="shared" si="11"/>
      </c>
      <c r="AC31" s="81" t="str">
        <f t="array" ref="AC31">IF(AB31="","",IFERROR(INDEX(HELPER!$D$8:$D$48,IF(AB31&gt;=HELPER!$B$8,1,MATCH(AB31,HELPER!$B$8:$B$48,-1)+1)),""))</f>
      </c>
      <c r="AD31" s="82" t="str">
        <f>IF(AC31="","",IFERROR(VLOOKUP(AC31,HELPER!$F$8:$G$48,2,FALSE),""))</f>
      </c>
      <c r="AE31" s="3"/>
      <c r="AF31" s="4"/>
    </row>
    <row r="32" spans="1:32" ht="15" customHeight="1" x14ac:dyDescent="0.15">
      <c r="A32" s="3"/>
      <c r="B32" s="69">
        <v>15</v>
      </c>
      <c r="C32" s="184" t="str">
        <f>IF('INPUT DATA'!K25="","",'INPUT DATA'!K25)</f>
      </c>
      <c r="D32" s="185"/>
      <c r="E32" s="186"/>
      <c r="F32" s="70"/>
      <c r="G32" s="71"/>
      <c r="H32" s="71"/>
      <c r="I32" s="71"/>
      <c r="J32" s="72"/>
      <c r="K32" s="73" t="str">
        <f t="shared" si="0"/>
      </c>
      <c r="L32" s="76" t="str">
        <f t="shared" si="1"/>
      </c>
      <c r="M32" s="75" t="str">
        <f t="shared" si="2"/>
      </c>
      <c r="N32" s="70"/>
      <c r="O32" s="71"/>
      <c r="P32" s="72"/>
      <c r="Q32" s="73" t="str">
        <f t="shared" si="3"/>
      </c>
      <c r="R32" s="74" t="str">
        <f t="shared" si="4"/>
      </c>
      <c r="S32" s="75" t="str">
        <f t="shared" si="5"/>
      </c>
      <c r="T32" s="70"/>
      <c r="U32" s="71"/>
      <c r="V32" s="72"/>
      <c r="W32" s="77" t="str">
        <f t="shared" si="6"/>
      </c>
      <c r="X32" s="74" t="str">
        <f t="shared" si="7"/>
      </c>
      <c r="Y32" s="75" t="str">
        <f t="shared" si="8"/>
      </c>
      <c r="Z32" s="78" t="str">
        <f t="shared" si="9"/>
      </c>
      <c r="AA32" s="79" t="str">
        <f t="shared" si="10"/>
      </c>
      <c r="AB32" s="80" t="str">
        <f t="shared" si="11"/>
      </c>
      <c r="AC32" s="81" t="str">
        <f t="array" ref="AC32">IF(AB32="","",IFERROR(INDEX(HELPER!$D$8:$D$48,IF(AB32&gt;=HELPER!$B$8,1,MATCH(AB32,HELPER!$B$8:$B$48,-1)+1)),""))</f>
      </c>
      <c r="AD32" s="82" t="str">
        <f>IF(AC32="","",IFERROR(VLOOKUP(AC32,HELPER!$F$8:$G$48,2,FALSE),""))</f>
      </c>
      <c r="AE32" s="3"/>
      <c r="AF32" s="4"/>
    </row>
    <row r="33" spans="1:32" ht="15" customHeight="1" x14ac:dyDescent="0.15">
      <c r="A33" s="3"/>
      <c r="B33" s="69">
        <v>16</v>
      </c>
      <c r="C33" s="184" t="str">
        <f>IF('INPUT DATA'!K26="","",'INPUT DATA'!K26)</f>
      </c>
      <c r="D33" s="185"/>
      <c r="E33" s="186"/>
      <c r="F33" s="70"/>
      <c r="G33" s="71"/>
      <c r="H33" s="71"/>
      <c r="I33" s="71"/>
      <c r="J33" s="72"/>
      <c r="K33" s="73" t="str">
        <f t="shared" si="0"/>
      </c>
      <c r="L33" s="76" t="str">
        <f t="shared" si="1"/>
      </c>
      <c r="M33" s="75" t="str">
        <f t="shared" si="2"/>
      </c>
      <c r="N33" s="70"/>
      <c r="O33" s="71"/>
      <c r="P33" s="72"/>
      <c r="Q33" s="73" t="str">
        <f t="shared" si="3"/>
      </c>
      <c r="R33" s="74" t="str">
        <f t="shared" si="4"/>
      </c>
      <c r="S33" s="75" t="str">
        <f t="shared" si="5"/>
      </c>
      <c r="T33" s="70"/>
      <c r="U33" s="71"/>
      <c r="V33" s="72"/>
      <c r="W33" s="77" t="str">
        <f t="shared" si="6"/>
      </c>
      <c r="X33" s="74" t="str">
        <f t="shared" si="7"/>
      </c>
      <c r="Y33" s="75" t="str">
        <f t="shared" si="8"/>
      </c>
      <c r="Z33" s="78" t="str">
        <f t="shared" si="9"/>
      </c>
      <c r="AA33" s="79" t="str">
        <f t="shared" si="10"/>
      </c>
      <c r="AB33" s="80" t="str">
        <f t="shared" si="11"/>
      </c>
      <c r="AC33" s="81" t="str">
        <f t="array" ref="AC33">IF(AB33="","",IFERROR(INDEX(HELPER!$D$8:$D$48,IF(AB33&gt;=HELPER!$B$8,1,MATCH(AB33,HELPER!$B$8:$B$48,-1)+1)),""))</f>
      </c>
      <c r="AD33" s="82" t="str">
        <f>IF(AC33="","",IFERROR(VLOOKUP(AC33,HELPER!$F$8:$G$48,2,FALSE),""))</f>
      </c>
      <c r="AE33" s="3"/>
      <c r="AF33" s="4"/>
    </row>
    <row r="34" spans="1:32" ht="15" customHeight="1" x14ac:dyDescent="0.15">
      <c r="A34" s="3"/>
      <c r="B34" s="69">
        <v>17</v>
      </c>
      <c r="C34" s="184" t="str">
        <f>IF('INPUT DATA'!K27="","",'INPUT DATA'!K27)</f>
      </c>
      <c r="D34" s="185"/>
      <c r="E34" s="186"/>
      <c r="F34" s="70"/>
      <c r="G34" s="71"/>
      <c r="H34" s="71"/>
      <c r="I34" s="71"/>
      <c r="J34" s="72"/>
      <c r="K34" s="73" t="str">
        <f t="shared" si="0"/>
      </c>
      <c r="L34" s="76" t="str">
        <f t="shared" si="1"/>
      </c>
      <c r="M34" s="75" t="str">
        <f t="shared" si="2"/>
      </c>
      <c r="N34" s="70"/>
      <c r="O34" s="71"/>
      <c r="P34" s="72"/>
      <c r="Q34" s="73" t="str">
        <f t="shared" si="3"/>
      </c>
      <c r="R34" s="74" t="str">
        <f t="shared" si="4"/>
      </c>
      <c r="S34" s="75" t="str">
        <f t="shared" si="5"/>
      </c>
      <c r="T34" s="70"/>
      <c r="U34" s="71"/>
      <c r="V34" s="72"/>
      <c r="W34" s="77" t="str">
        <f t="shared" si="6"/>
      </c>
      <c r="X34" s="74" t="str">
        <f t="shared" si="7"/>
      </c>
      <c r="Y34" s="75" t="str">
        <f t="shared" si="8"/>
      </c>
      <c r="Z34" s="78" t="str">
        <f t="shared" si="9"/>
      </c>
      <c r="AA34" s="79" t="str">
        <f t="shared" si="10"/>
      </c>
      <c r="AB34" s="80" t="str">
        <f t="shared" si="11"/>
      </c>
      <c r="AC34" s="81" t="str">
        <f t="array" ref="AC34">IF(AB34="","",IFERROR(INDEX(HELPER!$D$8:$D$48,IF(AB34&gt;=HELPER!$B$8,1,MATCH(AB34,HELPER!$B$8:$B$48,-1)+1)),""))</f>
      </c>
      <c r="AD34" s="82" t="str">
        <f>IF(AC34="","",IFERROR(VLOOKUP(AC34,HELPER!$F$8:$G$48,2,FALSE),""))</f>
      </c>
      <c r="AE34" s="3"/>
      <c r="AF34" s="4"/>
    </row>
    <row r="35" spans="1:32" ht="15" customHeight="1" x14ac:dyDescent="0.15">
      <c r="A35" s="3"/>
      <c r="B35" s="69">
        <v>18</v>
      </c>
      <c r="C35" s="184" t="str">
        <f>IF('INPUT DATA'!K28="","",'INPUT DATA'!K28)</f>
      </c>
      <c r="D35" s="185"/>
      <c r="E35" s="186"/>
      <c r="F35" s="70"/>
      <c r="G35" s="71"/>
      <c r="H35" s="71"/>
      <c r="I35" s="71"/>
      <c r="J35" s="72"/>
      <c r="K35" s="73" t="str">
        <f t="shared" si="0"/>
      </c>
      <c r="L35" s="76" t="str">
        <f t="shared" si="1"/>
      </c>
      <c r="M35" s="75" t="str">
        <f t="shared" si="2"/>
      </c>
      <c r="N35" s="70"/>
      <c r="O35" s="71"/>
      <c r="P35" s="72"/>
      <c r="Q35" s="73" t="str">
        <f t="shared" si="3"/>
      </c>
      <c r="R35" s="74" t="str">
        <f t="shared" si="4"/>
      </c>
      <c r="S35" s="75" t="str">
        <f t="shared" si="5"/>
      </c>
      <c r="T35" s="70"/>
      <c r="U35" s="71"/>
      <c r="V35" s="72"/>
      <c r="W35" s="77" t="str">
        <f t="shared" si="6"/>
      </c>
      <c r="X35" s="74" t="str">
        <f t="shared" si="7"/>
      </c>
      <c r="Y35" s="75" t="str">
        <f t="shared" si="8"/>
      </c>
      <c r="Z35" s="78" t="str">
        <f t="shared" si="9"/>
      </c>
      <c r="AA35" s="79" t="str">
        <f t="shared" si="10"/>
      </c>
      <c r="AB35" s="80" t="str">
        <f t="shared" si="11"/>
      </c>
      <c r="AC35" s="81" t="str">
        <f t="array" ref="AC35">IF(AB35="","",IFERROR(INDEX(HELPER!$D$8:$D$48,IF(AB35&gt;=HELPER!$B$8,1,MATCH(AB35,HELPER!$B$8:$B$48,-1)+1)),""))</f>
      </c>
      <c r="AD35" s="82" t="str">
        <f>IF(AC35="","",IFERROR(VLOOKUP(AC35,HELPER!$F$8:$G$48,2,FALSE),""))</f>
      </c>
      <c r="AE35" s="3"/>
      <c r="AF35" s="4"/>
    </row>
    <row r="36" spans="1:32" ht="15" customHeight="1" x14ac:dyDescent="0.15">
      <c r="A36" s="3"/>
      <c r="B36" s="69">
        <v>19</v>
      </c>
      <c r="C36" s="184" t="str">
        <f>IF('INPUT DATA'!K29="","",'INPUT DATA'!K29)</f>
      </c>
      <c r="D36" s="185"/>
      <c r="E36" s="186"/>
      <c r="F36" s="70"/>
      <c r="G36" s="71"/>
      <c r="H36" s="71"/>
      <c r="I36" s="71"/>
      <c r="J36" s="72"/>
      <c r="K36" s="73" t="str">
        <f t="shared" si="0"/>
      </c>
      <c r="L36" s="76" t="str">
        <f t="shared" si="1"/>
      </c>
      <c r="M36" s="75" t="str">
        <f t="shared" si="2"/>
      </c>
      <c r="N36" s="70"/>
      <c r="O36" s="71"/>
      <c r="P36" s="72"/>
      <c r="Q36" s="73" t="str">
        <f t="shared" si="3"/>
      </c>
      <c r="R36" s="74" t="str">
        <f t="shared" si="4"/>
      </c>
      <c r="S36" s="75" t="str">
        <f t="shared" si="5"/>
      </c>
      <c r="T36" s="70"/>
      <c r="U36" s="71"/>
      <c r="V36" s="72"/>
      <c r="W36" s="77" t="str">
        <f t="shared" si="6"/>
      </c>
      <c r="X36" s="74" t="str">
        <f t="shared" si="7"/>
      </c>
      <c r="Y36" s="75" t="str">
        <f t="shared" si="8"/>
      </c>
      <c r="Z36" s="78" t="str">
        <f t="shared" si="9"/>
      </c>
      <c r="AA36" s="79" t="str">
        <f t="shared" si="10"/>
      </c>
      <c r="AB36" s="80" t="str">
        <f t="shared" si="11"/>
      </c>
      <c r="AC36" s="81" t="str">
        <f t="array" ref="AC36">IF(AB36="","",IFERROR(INDEX(HELPER!$D$8:$D$48,IF(AB36&gt;=HELPER!$B$8,1,MATCH(AB36,HELPER!$B$8:$B$48,-1)+1)),""))</f>
      </c>
      <c r="AD36" s="82" t="str">
        <f>IF(AC36="","",IFERROR(VLOOKUP(AC36,HELPER!$F$8:$G$48,2,FALSE),""))</f>
      </c>
      <c r="AE36" s="3"/>
      <c r="AF36" s="4"/>
    </row>
    <row r="37" spans="1:32" ht="15" customHeight="1" x14ac:dyDescent="0.15">
      <c r="A37" s="3"/>
      <c r="B37" s="98">
        <v>20</v>
      </c>
      <c r="C37" s="184" t="str">
        <f>IF('INPUT DATA'!K30="","",'INPUT DATA'!K30)</f>
      </c>
      <c r="D37" s="185"/>
      <c r="E37" s="186"/>
      <c r="F37" s="70"/>
      <c r="G37" s="71"/>
      <c r="H37" s="71"/>
      <c r="I37" s="71"/>
      <c r="J37" s="72"/>
      <c r="K37" s="73" t="str">
        <f t="shared" si="0"/>
      </c>
      <c r="L37" s="76" t="str">
        <f t="shared" si="1"/>
      </c>
      <c r="M37" s="75" t="str">
        <f t="shared" si="2"/>
      </c>
      <c r="N37" s="70"/>
      <c r="O37" s="71"/>
      <c r="P37" s="72"/>
      <c r="Q37" s="73" t="str">
        <f t="shared" si="3"/>
      </c>
      <c r="R37" s="74" t="str">
        <f t="shared" si="4"/>
      </c>
      <c r="S37" s="75" t="str">
        <f t="shared" si="5"/>
      </c>
      <c r="T37" s="70"/>
      <c r="U37" s="71"/>
      <c r="V37" s="72"/>
      <c r="W37" s="77" t="str">
        <f t="shared" si="6"/>
      </c>
      <c r="X37" s="74" t="str">
        <f t="shared" si="7"/>
      </c>
      <c r="Y37" s="75" t="str">
        <f t="shared" si="8"/>
      </c>
      <c r="Z37" s="78" t="str">
        <f t="shared" si="9"/>
      </c>
      <c r="AA37" s="79" t="str">
        <f t="shared" si="10"/>
      </c>
      <c r="AB37" s="80" t="str">
        <f t="shared" si="11"/>
      </c>
      <c r="AC37" s="81" t="str">
        <f t="array" ref="AC37">IF(AB37="","",IFERROR(INDEX(HELPER!$D$8:$D$48,IF(AB37&gt;=HELPER!$B$8,1,MATCH(AB37,HELPER!$B$8:$B$48,-1)+1)),""))</f>
      </c>
      <c r="AD37" s="82" t="str">
        <f>IF(AC37="","",IFERROR(VLOOKUP(AC37,HELPER!$F$8:$G$48,2,FALSE),""))</f>
      </c>
      <c r="AE37" s="3"/>
      <c r="AF37" s="4"/>
    </row>
    <row r="38" spans="1:32" ht="15" customHeight="1" x14ac:dyDescent="0.15">
      <c r="A38" s="3"/>
      <c r="B38" s="98">
        <v>21</v>
      </c>
      <c r="C38" s="184" t="str">
        <f>IF('INPUT DATA'!K31="","",'INPUT DATA'!K31)</f>
      </c>
      <c r="D38" s="185"/>
      <c r="E38" s="186"/>
      <c r="F38" s="70"/>
      <c r="G38" s="71"/>
      <c r="H38" s="71"/>
      <c r="I38" s="71"/>
      <c r="J38" s="72"/>
      <c r="K38" s="73" t="str">
        <f t="shared" si="0"/>
      </c>
      <c r="L38" s="76" t="str">
        <f t="shared" si="1"/>
      </c>
      <c r="M38" s="75" t="str">
        <f t="shared" si="2"/>
      </c>
      <c r="N38" s="70"/>
      <c r="O38" s="71"/>
      <c r="P38" s="72"/>
      <c r="Q38" s="73" t="str">
        <f t="shared" si="3"/>
      </c>
      <c r="R38" s="74" t="str">
        <f t="shared" si="4"/>
      </c>
      <c r="S38" s="75" t="str">
        <f t="shared" si="5"/>
      </c>
      <c r="T38" s="70"/>
      <c r="U38" s="71"/>
      <c r="V38" s="72"/>
      <c r="W38" s="77" t="str">
        <f t="shared" si="6"/>
      </c>
      <c r="X38" s="74" t="str">
        <f t="shared" si="7"/>
      </c>
      <c r="Y38" s="75" t="str">
        <f t="shared" si="8"/>
      </c>
      <c r="Z38" s="78" t="str">
        <f t="shared" si="9"/>
      </c>
      <c r="AA38" s="79" t="str">
        <f t="shared" si="10"/>
      </c>
      <c r="AB38" s="80" t="str">
        <f t="shared" si="11"/>
      </c>
      <c r="AC38" s="81" t="str">
        <f t="array" ref="AC38">IF(AB38="","",IFERROR(INDEX(HELPER!$D$8:$D$48,IF(AB38&gt;=HELPER!$B$8,1,MATCH(AB38,HELPER!$B$8:$B$48,-1)+1)),""))</f>
      </c>
      <c r="AD38" s="82" t="str">
        <f>IF(AC38="","",IFERROR(VLOOKUP(AC38,HELPER!$F$8:$G$48,2,FALSE),""))</f>
      </c>
      <c r="AE38" s="3"/>
      <c r="AF38" s="4"/>
    </row>
    <row r="39" spans="1:32" ht="15" customHeight="1" x14ac:dyDescent="0.15">
      <c r="A39" s="3"/>
      <c r="B39" s="98">
        <v>22</v>
      </c>
      <c r="C39" s="184" t="str">
        <f>IF('INPUT DATA'!K32="","",'INPUT DATA'!K32)</f>
      </c>
      <c r="D39" s="185"/>
      <c r="E39" s="186"/>
      <c r="F39" s="70"/>
      <c r="G39" s="71"/>
      <c r="H39" s="71"/>
      <c r="I39" s="71"/>
      <c r="J39" s="72"/>
      <c r="K39" s="73" t="str">
        <f t="shared" si="0"/>
      </c>
      <c r="L39" s="76" t="str">
        <f t="shared" si="1"/>
      </c>
      <c r="M39" s="75" t="str">
        <f t="shared" si="2"/>
      </c>
      <c r="N39" s="70"/>
      <c r="O39" s="71"/>
      <c r="P39" s="72"/>
      <c r="Q39" s="73" t="str">
        <f t="shared" si="3"/>
      </c>
      <c r="R39" s="74" t="str">
        <f t="shared" si="4"/>
      </c>
      <c r="S39" s="75" t="str">
        <f t="shared" si="5"/>
      </c>
      <c r="T39" s="70"/>
      <c r="U39" s="71"/>
      <c r="V39" s="72"/>
      <c r="W39" s="77" t="str">
        <f t="shared" si="6"/>
      </c>
      <c r="X39" s="74" t="str">
        <f t="shared" si="7"/>
      </c>
      <c r="Y39" s="75" t="str">
        <f t="shared" si="8"/>
      </c>
      <c r="Z39" s="78" t="str">
        <f t="shared" si="9"/>
      </c>
      <c r="AA39" s="79" t="str">
        <f t="shared" si="10"/>
      </c>
      <c r="AB39" s="80" t="str">
        <f t="shared" si="11"/>
      </c>
      <c r="AC39" s="81" t="str">
        <f t="array" ref="AC39">IF(AB39="","",IFERROR(INDEX(HELPER!$D$8:$D$48,IF(AB39&gt;=HELPER!$B$8,1,MATCH(AB39,HELPER!$B$8:$B$48,-1)+1)),""))</f>
      </c>
      <c r="AD39" s="82" t="str">
        <f>IF(AC39="","",IFERROR(VLOOKUP(AC39,HELPER!$F$8:$G$48,2,FALSE),""))</f>
      </c>
      <c r="AE39" s="3"/>
      <c r="AF39" s="4"/>
    </row>
    <row r="40" spans="1:32" ht="15" customHeight="1" x14ac:dyDescent="0.15">
      <c r="A40" s="3"/>
      <c r="B40" s="98">
        <v>23</v>
      </c>
      <c r="C40" s="184" t="str">
        <f>IF('INPUT DATA'!K33="","",'INPUT DATA'!K33)</f>
      </c>
      <c r="D40" s="185"/>
      <c r="E40" s="186"/>
      <c r="F40" s="70"/>
      <c r="G40" s="71"/>
      <c r="H40" s="71"/>
      <c r="I40" s="71"/>
      <c r="J40" s="72"/>
      <c r="K40" s="73" t="str">
        <f t="shared" si="0"/>
      </c>
      <c r="L40" s="76" t="str">
        <f t="shared" si="1"/>
      </c>
      <c r="M40" s="75" t="str">
        <f t="shared" si="2"/>
      </c>
      <c r="N40" s="70"/>
      <c r="O40" s="71"/>
      <c r="P40" s="72"/>
      <c r="Q40" s="73" t="str">
        <f t="shared" si="3"/>
      </c>
      <c r="R40" s="74" t="str">
        <f t="shared" si="4"/>
      </c>
      <c r="S40" s="75" t="str">
        <f t="shared" si="5"/>
      </c>
      <c r="T40" s="70"/>
      <c r="U40" s="71"/>
      <c r="V40" s="72"/>
      <c r="W40" s="77" t="str">
        <f t="shared" si="6"/>
      </c>
      <c r="X40" s="74" t="str">
        <f t="shared" si="7"/>
      </c>
      <c r="Y40" s="75" t="str">
        <f t="shared" si="8"/>
      </c>
      <c r="Z40" s="78" t="str">
        <f t="shared" si="9"/>
      </c>
      <c r="AA40" s="79" t="str">
        <f t="shared" si="10"/>
      </c>
      <c r="AB40" s="80" t="str">
        <f t="shared" si="11"/>
      </c>
      <c r="AC40" s="81" t="str">
        <f t="array" ref="AC40">IF(AB40="","",IFERROR(INDEX(HELPER!$D$8:$D$48,IF(AB40&gt;=HELPER!$B$8,1,MATCH(AB40,HELPER!$B$8:$B$48,-1)+1)),""))</f>
      </c>
      <c r="AD40" s="82" t="str">
        <f>IF(AC40="","",IFERROR(VLOOKUP(AC40,HELPER!$F$8:$G$48,2,FALSE),""))</f>
      </c>
      <c r="AE40" s="3"/>
      <c r="AF40" s="4"/>
    </row>
    <row r="41" spans="1:32" ht="15" customHeight="1" x14ac:dyDescent="0.15">
      <c r="A41" s="3"/>
      <c r="B41" s="98">
        <v>24</v>
      </c>
      <c r="C41" s="184" t="str">
        <f>IF('INPUT DATA'!K34="","",'INPUT DATA'!K34)</f>
      </c>
      <c r="D41" s="185"/>
      <c r="E41" s="186"/>
      <c r="F41" s="70"/>
      <c r="G41" s="71"/>
      <c r="H41" s="71"/>
      <c r="I41" s="71"/>
      <c r="J41" s="72"/>
      <c r="K41" s="73" t="str">
        <f t="shared" si="0"/>
      </c>
      <c r="L41" s="76" t="str">
        <f t="shared" si="1"/>
      </c>
      <c r="M41" s="75" t="str">
        <f t="shared" si="2"/>
      </c>
      <c r="N41" s="70"/>
      <c r="O41" s="71"/>
      <c r="P41" s="72"/>
      <c r="Q41" s="73" t="str">
        <f t="shared" si="3"/>
      </c>
      <c r="R41" s="74" t="str">
        <f t="shared" si="4"/>
      </c>
      <c r="S41" s="75" t="str">
        <f t="shared" si="5"/>
      </c>
      <c r="T41" s="70"/>
      <c r="U41" s="71"/>
      <c r="V41" s="72"/>
      <c r="W41" s="77" t="str">
        <f t="shared" si="6"/>
      </c>
      <c r="X41" s="74" t="str">
        <f t="shared" si="7"/>
      </c>
      <c r="Y41" s="75" t="str">
        <f t="shared" si="8"/>
      </c>
      <c r="Z41" s="78" t="str">
        <f t="shared" si="9"/>
      </c>
      <c r="AA41" s="79" t="str">
        <f t="shared" si="10"/>
      </c>
      <c r="AB41" s="80" t="str">
        <f t="shared" si="11"/>
      </c>
      <c r="AC41" s="81" t="str">
        <f t="array" ref="AC41">IF(AB41="","",IFERROR(INDEX(HELPER!$D$8:$D$48,IF(AB41&gt;=HELPER!$B$8,1,MATCH(AB41,HELPER!$B$8:$B$48,-1)+1)),""))</f>
      </c>
      <c r="AD41" s="82" t="str">
        <f>IF(AC41="","",IFERROR(VLOOKUP(AC41,HELPER!$F$8:$G$48,2,FALSE),""))</f>
      </c>
      <c r="AE41" s="3"/>
      <c r="AF41" s="4"/>
    </row>
    <row r="42" spans="1:32" ht="15" customHeight="1" x14ac:dyDescent="0.15">
      <c r="A42" s="3"/>
      <c r="B42" s="98">
        <v>25</v>
      </c>
      <c r="C42" s="184" t="str">
        <f>IF('INPUT DATA'!K35="","",'INPUT DATA'!K35)</f>
      </c>
      <c r="D42" s="185"/>
      <c r="E42" s="186"/>
      <c r="F42" s="70"/>
      <c r="G42" s="71"/>
      <c r="H42" s="71"/>
      <c r="I42" s="71"/>
      <c r="J42" s="72"/>
      <c r="K42" s="73" t="str">
        <f t="shared" si="0"/>
      </c>
      <c r="L42" s="76" t="str">
        <f t="shared" si="1"/>
      </c>
      <c r="M42" s="75" t="str">
        <f t="shared" si="2"/>
      </c>
      <c r="N42" s="70"/>
      <c r="O42" s="71"/>
      <c r="P42" s="72"/>
      <c r="Q42" s="73" t="str">
        <f t="shared" si="3"/>
      </c>
      <c r="R42" s="74" t="str">
        <f t="shared" si="4"/>
      </c>
      <c r="S42" s="75" t="str">
        <f t="shared" si="5"/>
      </c>
      <c r="T42" s="70"/>
      <c r="U42" s="71"/>
      <c r="V42" s="72"/>
      <c r="W42" s="77" t="str">
        <f t="shared" si="6"/>
      </c>
      <c r="X42" s="74" t="str">
        <f t="shared" si="7"/>
      </c>
      <c r="Y42" s="75" t="str">
        <f t="shared" si="8"/>
      </c>
      <c r="Z42" s="78" t="str">
        <f t="shared" si="9"/>
      </c>
      <c r="AA42" s="79" t="str">
        <f t="shared" si="10"/>
      </c>
      <c r="AB42" s="80" t="str">
        <f t="shared" si="11"/>
      </c>
      <c r="AC42" s="81" t="str">
        <f t="array" ref="AC42">IF(AB42="","",IFERROR(INDEX(HELPER!$D$8:$D$48,IF(AB42&gt;=HELPER!$B$8,1,MATCH(AB42,HELPER!$B$8:$B$48,-1)+1)),""))</f>
      </c>
      <c r="AD42" s="82" t="str">
        <f>IF(AC42="","",IFERROR(VLOOKUP(AC42,HELPER!$F$8:$G$48,2,FALSE),""))</f>
      </c>
      <c r="AE42" s="3"/>
      <c r="AF42" s="4"/>
    </row>
    <row r="43" spans="1:32" ht="15" customHeight="1" x14ac:dyDescent="0.15">
      <c r="A43" s="3"/>
      <c r="B43" s="98">
        <v>26</v>
      </c>
      <c r="C43" s="184" t="str">
        <f>IF('INPUT DATA'!K36="","",'INPUT DATA'!K36)</f>
      </c>
      <c r="D43" s="185"/>
      <c r="E43" s="186"/>
      <c r="F43" s="70"/>
      <c r="G43" s="71"/>
      <c r="H43" s="71"/>
      <c r="I43" s="71"/>
      <c r="J43" s="72"/>
      <c r="K43" s="73" t="str">
        <f t="shared" si="0"/>
      </c>
      <c r="L43" s="76" t="str">
        <f t="shared" si="1"/>
      </c>
      <c r="M43" s="75" t="str">
        <f t="shared" si="2"/>
      </c>
      <c r="N43" s="70"/>
      <c r="O43" s="71"/>
      <c r="P43" s="72"/>
      <c r="Q43" s="73" t="str">
        <f t="shared" si="3"/>
      </c>
      <c r="R43" s="74" t="str">
        <f t="shared" si="4"/>
      </c>
      <c r="S43" s="75" t="str">
        <f t="shared" si="5"/>
      </c>
      <c r="T43" s="70"/>
      <c r="U43" s="71"/>
      <c r="V43" s="72"/>
      <c r="W43" s="77" t="str">
        <f t="shared" si="6"/>
      </c>
      <c r="X43" s="74" t="str">
        <f t="shared" si="7"/>
      </c>
      <c r="Y43" s="75" t="str">
        <f t="shared" si="8"/>
      </c>
      <c r="Z43" s="78" t="str">
        <f t="shared" si="9"/>
      </c>
      <c r="AA43" s="79" t="str">
        <f t="shared" si="10"/>
      </c>
      <c r="AB43" s="80" t="str">
        <f t="shared" si="11"/>
      </c>
      <c r="AC43" s="81" t="str">
        <f t="array" ref="AC43">IF(AB43="","",IFERROR(INDEX(HELPER!$D$8:$D$48,IF(AB43&gt;=HELPER!$B$8,1,MATCH(AB43,HELPER!$B$8:$B$48,-1)+1)),""))</f>
      </c>
      <c r="AD43" s="82" t="str">
        <f>IF(AC43="","",IFERROR(VLOOKUP(AC43,HELPER!$F$8:$G$48,2,FALSE),""))</f>
      </c>
      <c r="AE43" s="3"/>
      <c r="AF43" s="4"/>
    </row>
    <row r="44" spans="1:32" ht="15" customHeight="1" x14ac:dyDescent="0.15">
      <c r="A44" s="3"/>
      <c r="B44" s="98">
        <v>27</v>
      </c>
      <c r="C44" s="184" t="str">
        <f>IF('INPUT DATA'!K37="","",'INPUT DATA'!K37)</f>
      </c>
      <c r="D44" s="185"/>
      <c r="E44" s="186"/>
      <c r="F44" s="70"/>
      <c r="G44" s="71"/>
      <c r="H44" s="71"/>
      <c r="I44" s="71"/>
      <c r="J44" s="72"/>
      <c r="K44" s="73" t="str">
        <f t="shared" si="0"/>
      </c>
      <c r="L44" s="76" t="str">
        <f t="shared" si="1"/>
      </c>
      <c r="M44" s="75" t="str">
        <f t="shared" si="2"/>
      </c>
      <c r="N44" s="70"/>
      <c r="O44" s="71"/>
      <c r="P44" s="72"/>
      <c r="Q44" s="73" t="str">
        <f t="shared" si="3"/>
      </c>
      <c r="R44" s="74" t="str">
        <f t="shared" si="4"/>
      </c>
      <c r="S44" s="75" t="str">
        <f t="shared" si="5"/>
      </c>
      <c r="T44" s="70"/>
      <c r="U44" s="71"/>
      <c r="V44" s="72"/>
      <c r="W44" s="77" t="str">
        <f t="shared" si="6"/>
      </c>
      <c r="X44" s="74" t="str">
        <f t="shared" si="7"/>
      </c>
      <c r="Y44" s="75" t="str">
        <f t="shared" si="8"/>
      </c>
      <c r="Z44" s="78" t="str">
        <f t="shared" si="9"/>
      </c>
      <c r="AA44" s="79" t="str">
        <f t="shared" si="10"/>
      </c>
      <c r="AB44" s="80" t="str">
        <f t="shared" si="11"/>
      </c>
      <c r="AC44" s="81" t="str">
        <f t="array" ref="AC44">IF(AB44="","",IFERROR(INDEX(HELPER!$D$8:$D$48,IF(AB44&gt;=HELPER!$B$8,1,MATCH(AB44,HELPER!$B$8:$B$48,-1)+1)),""))</f>
      </c>
      <c r="AD44" s="82" t="str">
        <f>IF(AC44="","",IFERROR(VLOOKUP(AC44,HELPER!$F$8:$G$48,2,FALSE),""))</f>
      </c>
      <c r="AE44" s="3"/>
      <c r="AF44" s="4"/>
    </row>
    <row r="45" spans="1:32" ht="15" customHeight="1" x14ac:dyDescent="0.15">
      <c r="A45" s="3"/>
      <c r="B45" s="98">
        <v>28</v>
      </c>
      <c r="C45" s="184" t="str">
        <f>IF('INPUT DATA'!K38="","",'INPUT DATA'!K38)</f>
      </c>
      <c r="D45" s="185"/>
      <c r="E45" s="186"/>
      <c r="F45" s="70"/>
      <c r="G45" s="71"/>
      <c r="H45" s="71"/>
      <c r="I45" s="71"/>
      <c r="J45" s="72"/>
      <c r="K45" s="73" t="str">
        <f t="shared" si="0"/>
      </c>
      <c r="L45" s="76" t="str">
        <f t="shared" si="1"/>
      </c>
      <c r="M45" s="75" t="str">
        <f t="shared" si="2"/>
      </c>
      <c r="N45" s="70"/>
      <c r="O45" s="71"/>
      <c r="P45" s="72"/>
      <c r="Q45" s="73" t="str">
        <f t="shared" si="3"/>
      </c>
      <c r="R45" s="74" t="str">
        <f t="shared" si="4"/>
      </c>
      <c r="S45" s="75" t="str">
        <f t="shared" si="5"/>
      </c>
      <c r="T45" s="70"/>
      <c r="U45" s="71"/>
      <c r="V45" s="72"/>
      <c r="W45" s="77" t="str">
        <f t="shared" si="6"/>
      </c>
      <c r="X45" s="74" t="str">
        <f t="shared" si="7"/>
      </c>
      <c r="Y45" s="75" t="str">
        <f t="shared" si="8"/>
      </c>
      <c r="Z45" s="78" t="str">
        <f t="shared" si="9"/>
      </c>
      <c r="AA45" s="79" t="str">
        <f t="shared" si="10"/>
      </c>
      <c r="AB45" s="80" t="str">
        <f t="shared" si="11"/>
      </c>
      <c r="AC45" s="81" t="str">
        <f t="array" ref="AC45">IF(AB45="","",IFERROR(INDEX(HELPER!$D$8:$D$48,IF(AB45&gt;=HELPER!$B$8,1,MATCH(AB45,HELPER!$B$8:$B$48,-1)+1)),""))</f>
      </c>
      <c r="AD45" s="82" t="str">
        <f>IF(AC45="","",IFERROR(VLOOKUP(AC45,HELPER!$F$8:$G$48,2,FALSE),""))</f>
      </c>
      <c r="AE45" s="3"/>
      <c r="AF45" s="4"/>
    </row>
    <row r="46" spans="1:32" ht="15" customHeight="1" x14ac:dyDescent="0.15">
      <c r="A46" s="3"/>
      <c r="B46" s="98">
        <v>29</v>
      </c>
      <c r="C46" s="184" t="str">
        <f>IF('INPUT DATA'!K39="","",'INPUT DATA'!K39)</f>
      </c>
      <c r="D46" s="185"/>
      <c r="E46" s="186"/>
      <c r="F46" s="70"/>
      <c r="G46" s="71"/>
      <c r="H46" s="71"/>
      <c r="I46" s="71"/>
      <c r="J46" s="72"/>
      <c r="K46" s="73" t="str">
        <f t="shared" si="0"/>
      </c>
      <c r="L46" s="76" t="str">
        <f t="shared" si="1"/>
      </c>
      <c r="M46" s="75" t="str">
        <f t="shared" si="2"/>
      </c>
      <c r="N46" s="70"/>
      <c r="O46" s="71"/>
      <c r="P46" s="72"/>
      <c r="Q46" s="73" t="str">
        <f t="shared" si="3"/>
      </c>
      <c r="R46" s="74" t="str">
        <f t="shared" si="4"/>
      </c>
      <c r="S46" s="75" t="str">
        <f t="shared" si="5"/>
      </c>
      <c r="T46" s="70"/>
      <c r="U46" s="71"/>
      <c r="V46" s="72"/>
      <c r="W46" s="77" t="str">
        <f t="shared" si="6"/>
      </c>
      <c r="X46" s="74" t="str">
        <f t="shared" si="7"/>
      </c>
      <c r="Y46" s="75" t="str">
        <f t="shared" si="8"/>
      </c>
      <c r="Z46" s="78" t="str">
        <f t="shared" si="9"/>
      </c>
      <c r="AA46" s="79" t="str">
        <f t="shared" si="10"/>
      </c>
      <c r="AB46" s="80" t="str">
        <f t="shared" si="11"/>
      </c>
      <c r="AC46" s="81" t="str">
        <f t="array" ref="AC46">IF(AB46="","",IFERROR(INDEX(HELPER!$D$8:$D$48,IF(AB46&gt;=HELPER!$B$8,1,MATCH(AB46,HELPER!$B$8:$B$48,-1)+1)),""))</f>
      </c>
      <c r="AD46" s="82" t="str">
        <f>IF(AC46="","",IFERROR(VLOOKUP(AC46,HELPER!$F$8:$G$48,2,FALSE),""))</f>
      </c>
      <c r="AE46" s="3"/>
      <c r="AF46" s="4"/>
    </row>
    <row r="47" spans="1:32" ht="15" customHeight="1" x14ac:dyDescent="0.15">
      <c r="A47" s="3"/>
      <c r="B47" s="98">
        <v>30</v>
      </c>
      <c r="C47" s="184" t="str">
        <f>IF('INPUT DATA'!K40="","",'INPUT DATA'!K40)</f>
      </c>
      <c r="D47" s="185"/>
      <c r="E47" s="186"/>
      <c r="F47" s="70"/>
      <c r="G47" s="71"/>
      <c r="H47" s="71"/>
      <c r="I47" s="71"/>
      <c r="J47" s="72"/>
      <c r="K47" s="73" t="str">
        <f t="shared" si="0"/>
      </c>
      <c r="L47" s="76" t="str">
        <f t="shared" si="1"/>
      </c>
      <c r="M47" s="75" t="str">
        <f t="shared" si="2"/>
      </c>
      <c r="N47" s="70"/>
      <c r="O47" s="71"/>
      <c r="P47" s="72"/>
      <c r="Q47" s="73" t="str">
        <f t="shared" si="3"/>
      </c>
      <c r="R47" s="74" t="str">
        <f t="shared" si="4"/>
      </c>
      <c r="S47" s="75" t="str">
        <f t="shared" si="5"/>
      </c>
      <c r="T47" s="70"/>
      <c r="U47" s="71"/>
      <c r="V47" s="72"/>
      <c r="W47" s="77" t="str">
        <f t="shared" si="6"/>
      </c>
      <c r="X47" s="74" t="str">
        <f t="shared" si="7"/>
      </c>
      <c r="Y47" s="75" t="str">
        <f t="shared" si="8"/>
      </c>
      <c r="Z47" s="78" t="str">
        <f t="shared" si="9"/>
      </c>
      <c r="AA47" s="79" t="str">
        <f t="shared" si="10"/>
      </c>
      <c r="AB47" s="80" t="str">
        <f t="shared" si="11"/>
      </c>
      <c r="AC47" s="81" t="str">
        <f t="array" ref="AC47">IF(AB47="","",IFERROR(INDEX(HELPER!$D$8:$D$48,IF(AB47&gt;=HELPER!$B$8,1,MATCH(AB47,HELPER!$B$8:$B$48,-1)+1)),""))</f>
      </c>
      <c r="AD47" s="82" t="str">
        <f>IF(AC47="","",IFERROR(VLOOKUP(AC47,HELPER!$F$8:$G$48,2,FALSE),""))</f>
      </c>
      <c r="AE47" s="3"/>
      <c r="AF47" s="4"/>
    </row>
    <row r="48" spans="1:32" ht="15" customHeight="1" x14ac:dyDescent="0.15">
      <c r="A48" s="3"/>
      <c r="B48" s="98">
        <v>31</v>
      </c>
      <c r="C48" s="184" t="str">
        <f>IF('INPUT DATA'!K41="","",'INPUT DATA'!K41)</f>
      </c>
      <c r="D48" s="185"/>
      <c r="E48" s="186"/>
      <c r="F48" s="70"/>
      <c r="G48" s="71"/>
      <c r="H48" s="71"/>
      <c r="I48" s="71"/>
      <c r="J48" s="72"/>
      <c r="K48" s="73" t="str">
        <f t="shared" si="0"/>
      </c>
      <c r="L48" s="76" t="str">
        <f t="shared" si="1"/>
      </c>
      <c r="M48" s="75" t="str">
        <f t="shared" si="2"/>
      </c>
      <c r="N48" s="70"/>
      <c r="O48" s="71"/>
      <c r="P48" s="72"/>
      <c r="Q48" s="73" t="str">
        <f t="shared" si="3"/>
      </c>
      <c r="R48" s="74" t="str">
        <f t="shared" si="4"/>
      </c>
      <c r="S48" s="75" t="str">
        <f t="shared" si="5"/>
      </c>
      <c r="T48" s="70"/>
      <c r="U48" s="71"/>
      <c r="V48" s="72"/>
      <c r="W48" s="77" t="str">
        <f t="shared" si="6"/>
      </c>
      <c r="X48" s="74" t="str">
        <f t="shared" si="7"/>
      </c>
      <c r="Y48" s="75" t="str">
        <f t="shared" si="8"/>
      </c>
      <c r="Z48" s="78" t="str">
        <f t="shared" si="9"/>
      </c>
      <c r="AA48" s="79" t="str">
        <f t="shared" si="10"/>
      </c>
      <c r="AB48" s="80" t="str">
        <f t="shared" si="11"/>
      </c>
      <c r="AC48" s="81" t="str">
        <f t="array" ref="AC48">IF(AB48="","",IFERROR(INDEX(HELPER!$D$8:$D$48,IF(AB48&gt;=HELPER!$B$8,1,MATCH(AB48,HELPER!$B$8:$B$48,-1)+1)),""))</f>
      </c>
      <c r="AD48" s="82" t="str">
        <f>IF(AC48="","",IFERROR(VLOOKUP(AC48,HELPER!$F$8:$G$48,2,FALSE),""))</f>
      </c>
      <c r="AE48" s="3"/>
      <c r="AF48" s="4"/>
    </row>
    <row r="49" spans="1:32" ht="15" customHeight="1" x14ac:dyDescent="0.15">
      <c r="A49" s="3"/>
      <c r="B49" s="98">
        <v>32</v>
      </c>
      <c r="C49" s="184" t="str">
        <f>IF('INPUT DATA'!K42="","",'INPUT DATA'!K42)</f>
      </c>
      <c r="D49" s="185"/>
      <c r="E49" s="186"/>
      <c r="F49" s="70"/>
      <c r="G49" s="71"/>
      <c r="H49" s="71"/>
      <c r="I49" s="71"/>
      <c r="J49" s="72"/>
      <c r="K49" s="73" t="str">
        <f t="shared" si="0"/>
      </c>
      <c r="L49" s="76" t="str">
        <f t="shared" si="1"/>
      </c>
      <c r="M49" s="75" t="str">
        <f t="shared" si="2"/>
      </c>
      <c r="N49" s="70"/>
      <c r="O49" s="71"/>
      <c r="P49" s="72"/>
      <c r="Q49" s="73" t="str">
        <f t="shared" si="3"/>
      </c>
      <c r="R49" s="74" t="str">
        <f t="shared" si="4"/>
      </c>
      <c r="S49" s="75" t="str">
        <f t="shared" si="5"/>
      </c>
      <c r="T49" s="70"/>
      <c r="U49" s="71"/>
      <c r="V49" s="72"/>
      <c r="W49" s="77" t="str">
        <f t="shared" si="6"/>
      </c>
      <c r="X49" s="74" t="str">
        <f t="shared" si="7"/>
      </c>
      <c r="Y49" s="75" t="str">
        <f t="shared" si="8"/>
      </c>
      <c r="Z49" s="78" t="str">
        <f t="shared" si="9"/>
      </c>
      <c r="AA49" s="79" t="str">
        <f t="shared" si="10"/>
      </c>
      <c r="AB49" s="80" t="str">
        <f t="shared" si="11"/>
      </c>
      <c r="AC49" s="81" t="str">
        <f t="array" ref="AC49">IF(AB49="","",IFERROR(INDEX(HELPER!$D$8:$D$48,IF(AB49&gt;=HELPER!$B$8,1,MATCH(AB49,HELPER!$B$8:$B$48,-1)+1)),""))</f>
      </c>
      <c r="AD49" s="82" t="str">
        <f>IF(AC49="","",IFERROR(VLOOKUP(AC49,HELPER!$F$8:$G$48,2,FALSE),""))</f>
      </c>
      <c r="AE49" s="3"/>
      <c r="AF49" s="4"/>
    </row>
    <row r="50" spans="1:32" ht="15" customHeight="1" x14ac:dyDescent="0.15">
      <c r="A50" s="3"/>
      <c r="B50" s="98">
        <v>33</v>
      </c>
      <c r="C50" s="184" t="str">
        <f>IF('INPUT DATA'!K43="","",'INPUT DATA'!K43)</f>
      </c>
      <c r="D50" s="185"/>
      <c r="E50" s="186"/>
      <c r="F50" s="70"/>
      <c r="G50" s="71"/>
      <c r="H50" s="71"/>
      <c r="I50" s="71"/>
      <c r="J50" s="72"/>
      <c r="K50" s="73" t="str">
        <f t="shared" si="0"/>
      </c>
      <c r="L50" s="76" t="str">
        <f t="shared" si="1"/>
      </c>
      <c r="M50" s="75" t="str">
        <f t="shared" si="2"/>
      </c>
      <c r="N50" s="70"/>
      <c r="O50" s="71"/>
      <c r="P50" s="72"/>
      <c r="Q50" s="73" t="str">
        <f t="shared" si="3"/>
      </c>
      <c r="R50" s="74" t="str">
        <f t="shared" si="4"/>
      </c>
      <c r="S50" s="75" t="str">
        <f t="shared" si="5"/>
      </c>
      <c r="T50" s="70"/>
      <c r="U50" s="71"/>
      <c r="V50" s="72"/>
      <c r="W50" s="77" t="str">
        <f t="shared" si="6"/>
      </c>
      <c r="X50" s="74" t="str">
        <f t="shared" si="7"/>
      </c>
      <c r="Y50" s="75" t="str">
        <f t="shared" si="8"/>
      </c>
      <c r="Z50" s="78" t="str">
        <f t="shared" si="9"/>
      </c>
      <c r="AA50" s="79" t="str">
        <f t="shared" si="10"/>
      </c>
      <c r="AB50" s="80" t="str">
        <f t="shared" si="11"/>
      </c>
      <c r="AC50" s="81" t="str">
        <f t="array" ref="AC50">IF(AB50="","",IFERROR(INDEX(HELPER!$D$8:$D$48,IF(AB50&gt;=HELPER!$B$8,1,MATCH(AB50,HELPER!$B$8:$B$48,-1)+1)),""))</f>
      </c>
      <c r="AD50" s="82" t="str">
        <f>IF(AC50="","",IFERROR(VLOOKUP(AC50,HELPER!$F$8:$G$48,2,FALSE),""))</f>
      </c>
      <c r="AE50" s="3"/>
      <c r="AF50" s="4"/>
    </row>
    <row r="51" spans="1:32" ht="15" customHeight="1" x14ac:dyDescent="0.15">
      <c r="A51" s="3"/>
      <c r="B51" s="98">
        <v>34</v>
      </c>
      <c r="C51" s="184" t="str">
        <f>IF('INPUT DATA'!K44="","",'INPUT DATA'!K44)</f>
      </c>
      <c r="D51" s="185"/>
      <c r="E51" s="186"/>
      <c r="F51" s="70"/>
      <c r="G51" s="71"/>
      <c r="H51" s="71"/>
      <c r="I51" s="71"/>
      <c r="J51" s="72"/>
      <c r="K51" s="73" t="str">
        <f t="shared" si="0"/>
      </c>
      <c r="L51" s="76" t="str">
        <f t="shared" si="1"/>
      </c>
      <c r="M51" s="75" t="str">
        <f t="shared" si="2"/>
      </c>
      <c r="N51" s="70"/>
      <c r="O51" s="71"/>
      <c r="P51" s="72"/>
      <c r="Q51" s="73" t="str">
        <f t="shared" si="3"/>
      </c>
      <c r="R51" s="74" t="str">
        <f t="shared" si="4"/>
      </c>
      <c r="S51" s="75" t="str">
        <f t="shared" si="5"/>
      </c>
      <c r="T51" s="70"/>
      <c r="U51" s="71"/>
      <c r="V51" s="72"/>
      <c r="W51" s="77" t="str">
        <f t="shared" si="6"/>
      </c>
      <c r="X51" s="74" t="str">
        <f t="shared" si="7"/>
      </c>
      <c r="Y51" s="75" t="str">
        <f t="shared" si="8"/>
      </c>
      <c r="Z51" s="78" t="str">
        <f t="shared" si="9"/>
      </c>
      <c r="AA51" s="79" t="str">
        <f t="shared" si="10"/>
      </c>
      <c r="AB51" s="80" t="str">
        <f t="shared" si="11"/>
      </c>
      <c r="AC51" s="81" t="str">
        <f t="array" ref="AC51">IF(AB51="","",IFERROR(INDEX(HELPER!$D$8:$D$48,IF(AB51&gt;=HELPER!$B$8,1,MATCH(AB51,HELPER!$B$8:$B$48,-1)+1)),""))</f>
      </c>
      <c r="AD51" s="82" t="str">
        <f>IF(AC51="","",IFERROR(VLOOKUP(AC51,HELPER!$F$8:$G$48,2,FALSE),""))</f>
      </c>
      <c r="AE51" s="3"/>
      <c r="AF51" s="4"/>
    </row>
    <row r="52" spans="1:32" ht="15" customHeight="1" x14ac:dyDescent="0.15">
      <c r="A52" s="3"/>
      <c r="B52" s="98">
        <v>35</v>
      </c>
      <c r="C52" s="184" t="str">
        <f>IF('INPUT DATA'!K45="","",'INPUT DATA'!K45)</f>
      </c>
      <c r="D52" s="185"/>
      <c r="E52" s="186"/>
      <c r="F52" s="70"/>
      <c r="G52" s="71"/>
      <c r="H52" s="71"/>
      <c r="I52" s="71"/>
      <c r="J52" s="72"/>
      <c r="K52" s="73" t="str">
        <f t="shared" si="0"/>
      </c>
      <c r="L52" s="76" t="str">
        <f t="shared" si="1"/>
      </c>
      <c r="M52" s="75" t="str">
        <f t="shared" si="2"/>
      </c>
      <c r="N52" s="70"/>
      <c r="O52" s="71"/>
      <c r="P52" s="72"/>
      <c r="Q52" s="73" t="str">
        <f t="shared" si="3"/>
      </c>
      <c r="R52" s="74" t="str">
        <f t="shared" si="4"/>
      </c>
      <c r="S52" s="75" t="str">
        <f t="shared" si="5"/>
      </c>
      <c r="T52" s="70"/>
      <c r="U52" s="71"/>
      <c r="V52" s="72"/>
      <c r="W52" s="77" t="str">
        <f t="shared" si="6"/>
      </c>
      <c r="X52" s="74" t="str">
        <f t="shared" si="7"/>
      </c>
      <c r="Y52" s="75" t="str">
        <f t="shared" si="8"/>
      </c>
      <c r="Z52" s="78" t="str">
        <f t="shared" si="9"/>
      </c>
      <c r="AA52" s="79" t="str">
        <f t="shared" si="10"/>
      </c>
      <c r="AB52" s="80" t="str">
        <f t="shared" si="11"/>
      </c>
      <c r="AC52" s="81" t="str">
        <f t="array" ref="AC52">IF(AB52="","",IFERROR(INDEX(HELPER!$D$8:$D$48,IF(AB52&gt;=HELPER!$B$8,1,MATCH(AB52,HELPER!$B$8:$B$48,-1)+1)),""))</f>
      </c>
      <c r="AD52" s="82" t="str">
        <f>IF(AC52="","",IFERROR(VLOOKUP(AC52,HELPER!$F$8:$G$48,2,FALSE),""))</f>
      </c>
      <c r="AE52" s="3"/>
      <c r="AF52" s="4"/>
    </row>
    <row r="53" spans="1:32" ht="15" customHeight="1" x14ac:dyDescent="0.15">
      <c r="A53" s="3"/>
      <c r="B53" s="98">
        <v>36</v>
      </c>
      <c r="C53" s="184" t="str">
        <f>IF('INPUT DATA'!K46="","",'INPUT DATA'!K46)</f>
      </c>
      <c r="D53" s="185"/>
      <c r="E53" s="186"/>
      <c r="F53" s="70"/>
      <c r="G53" s="71"/>
      <c r="H53" s="71"/>
      <c r="I53" s="71"/>
      <c r="J53" s="72"/>
      <c r="K53" s="73" t="str">
        <f t="shared" si="0"/>
      </c>
      <c r="L53" s="76" t="str">
        <f t="shared" si="1"/>
      </c>
      <c r="M53" s="75" t="str">
        <f t="shared" si="2"/>
      </c>
      <c r="N53" s="70"/>
      <c r="O53" s="71"/>
      <c r="P53" s="72"/>
      <c r="Q53" s="73" t="str">
        <f t="shared" si="3"/>
      </c>
      <c r="R53" s="74" t="str">
        <f t="shared" si="4"/>
      </c>
      <c r="S53" s="75" t="str">
        <f t="shared" si="5"/>
      </c>
      <c r="T53" s="70"/>
      <c r="U53" s="71"/>
      <c r="V53" s="72"/>
      <c r="W53" s="77" t="str">
        <f t="shared" si="6"/>
      </c>
      <c r="X53" s="74" t="str">
        <f t="shared" si="7"/>
      </c>
      <c r="Y53" s="75" t="str">
        <f t="shared" si="8"/>
      </c>
      <c r="Z53" s="78" t="str">
        <f t="shared" si="9"/>
      </c>
      <c r="AA53" s="79" t="str">
        <f t="shared" si="10"/>
      </c>
      <c r="AB53" s="80" t="str">
        <f t="shared" si="11"/>
      </c>
      <c r="AC53" s="81" t="str">
        <f t="array" ref="AC53">IF(AB53="","",IFERROR(INDEX(HELPER!$D$8:$D$48,IF(AB53&gt;=HELPER!$B$8,1,MATCH(AB53,HELPER!$B$8:$B$48,-1)+1)),""))</f>
      </c>
      <c r="AD53" s="82" t="str">
        <f>IF(AC53="","",IFERROR(VLOOKUP(AC53,HELPER!$F$8:$G$48,2,FALSE),""))</f>
      </c>
      <c r="AE53" s="3"/>
      <c r="AF53" s="4"/>
    </row>
    <row r="54" spans="1:32" ht="15" customHeight="1" x14ac:dyDescent="0.15">
      <c r="A54" s="3"/>
      <c r="B54" s="98">
        <v>37</v>
      </c>
      <c r="C54" s="184" t="str">
        <f>IF('INPUT DATA'!K47="","",'INPUT DATA'!K47)</f>
      </c>
      <c r="D54" s="185"/>
      <c r="E54" s="186"/>
      <c r="F54" s="70"/>
      <c r="G54" s="71"/>
      <c r="H54" s="71"/>
      <c r="I54" s="71"/>
      <c r="J54" s="72"/>
      <c r="K54" s="73" t="str">
        <f t="shared" si="0"/>
      </c>
      <c r="L54" s="76" t="str">
        <f t="shared" si="1"/>
      </c>
      <c r="M54" s="75" t="str">
        <f t="shared" si="2"/>
      </c>
      <c r="N54" s="70"/>
      <c r="O54" s="71"/>
      <c r="P54" s="72"/>
      <c r="Q54" s="73" t="str">
        <f t="shared" si="3"/>
      </c>
      <c r="R54" s="74" t="str">
        <f t="shared" si="4"/>
      </c>
      <c r="S54" s="75" t="str">
        <f t="shared" si="5"/>
      </c>
      <c r="T54" s="70"/>
      <c r="U54" s="71"/>
      <c r="V54" s="72"/>
      <c r="W54" s="77" t="str">
        <f t="shared" si="6"/>
      </c>
      <c r="X54" s="74" t="str">
        <f t="shared" si="7"/>
      </c>
      <c r="Y54" s="75" t="str">
        <f t="shared" si="8"/>
      </c>
      <c r="Z54" s="78" t="str">
        <f t="shared" si="9"/>
      </c>
      <c r="AA54" s="79" t="str">
        <f t="shared" si="10"/>
      </c>
      <c r="AB54" s="80" t="str">
        <f t="shared" si="11"/>
      </c>
      <c r="AC54" s="81" t="str">
        <f t="array" ref="AC54">IF(AB54="","",IFERROR(INDEX(HELPER!$D$8:$D$48,IF(AB54&gt;=HELPER!$B$8,1,MATCH(AB54,HELPER!$B$8:$B$48,-1)+1)),""))</f>
      </c>
      <c r="AD54" s="82" t="str">
        <f>IF(AC54="","",IFERROR(VLOOKUP(AC54,HELPER!$F$8:$G$48,2,FALSE),""))</f>
      </c>
      <c r="AE54" s="3"/>
      <c r="AF54" s="4"/>
    </row>
    <row r="55" spans="1:32" ht="15" customHeight="1" x14ac:dyDescent="0.15">
      <c r="A55" s="3"/>
      <c r="B55" s="98">
        <v>38</v>
      </c>
      <c r="C55" s="184" t="str">
        <f>IF('INPUT DATA'!K48="","",'INPUT DATA'!K48)</f>
      </c>
      <c r="D55" s="185"/>
      <c r="E55" s="186"/>
      <c r="F55" s="70"/>
      <c r="G55" s="71"/>
      <c r="H55" s="71"/>
      <c r="I55" s="71"/>
      <c r="J55" s="72"/>
      <c r="K55" s="73" t="str">
        <f t="shared" si="0"/>
      </c>
      <c r="L55" s="76" t="str">
        <f t="shared" si="1"/>
      </c>
      <c r="M55" s="75" t="str">
        <f t="shared" si="2"/>
      </c>
      <c r="N55" s="70"/>
      <c r="O55" s="71"/>
      <c r="P55" s="72"/>
      <c r="Q55" s="73" t="str">
        <f t="shared" si="3"/>
      </c>
      <c r="R55" s="74" t="str">
        <f t="shared" si="4"/>
      </c>
      <c r="S55" s="75" t="str">
        <f t="shared" si="5"/>
      </c>
      <c r="T55" s="70"/>
      <c r="U55" s="71"/>
      <c r="V55" s="72"/>
      <c r="W55" s="77" t="str">
        <f t="shared" si="6"/>
      </c>
      <c r="X55" s="74" t="str">
        <f t="shared" si="7"/>
      </c>
      <c r="Y55" s="75" t="str">
        <f t="shared" si="8"/>
      </c>
      <c r="Z55" s="78" t="str">
        <f t="shared" si="9"/>
      </c>
      <c r="AA55" s="79" t="str">
        <f t="shared" si="10"/>
      </c>
      <c r="AB55" s="80" t="str">
        <f t="shared" si="11"/>
      </c>
      <c r="AC55" s="81" t="str">
        <f t="array" ref="AC55">IF(AB55="","",IFERROR(INDEX(HELPER!$D$8:$D$48,IF(AB55&gt;=HELPER!$B$8,1,MATCH(AB55,HELPER!$B$8:$B$48,-1)+1)),""))</f>
      </c>
      <c r="AD55" s="82" t="str">
        <f>IF(AC55="","",IFERROR(VLOOKUP(AC55,HELPER!$F$8:$G$48,2,FALSE),""))</f>
      </c>
      <c r="AE55" s="3"/>
      <c r="AF55" s="4"/>
    </row>
    <row r="56" spans="1:32" ht="15" customHeight="1" x14ac:dyDescent="0.15">
      <c r="A56" s="3"/>
      <c r="B56" s="98">
        <v>39</v>
      </c>
      <c r="C56" s="184" t="str">
        <f>IF('INPUT DATA'!K49="","",'INPUT DATA'!K49)</f>
      </c>
      <c r="D56" s="185"/>
      <c r="E56" s="186"/>
      <c r="F56" s="70"/>
      <c r="G56" s="71"/>
      <c r="H56" s="71"/>
      <c r="I56" s="71"/>
      <c r="J56" s="72"/>
      <c r="K56" s="73" t="str">
        <f t="shared" si="0"/>
      </c>
      <c r="L56" s="76" t="str">
        <f t="shared" si="1"/>
      </c>
      <c r="M56" s="75" t="str">
        <f t="shared" si="2"/>
      </c>
      <c r="N56" s="70"/>
      <c r="O56" s="71"/>
      <c r="P56" s="72"/>
      <c r="Q56" s="73" t="str">
        <f t="shared" si="3"/>
      </c>
      <c r="R56" s="74" t="str">
        <f t="shared" si="4"/>
      </c>
      <c r="S56" s="75" t="str">
        <f t="shared" si="5"/>
      </c>
      <c r="T56" s="70"/>
      <c r="U56" s="71"/>
      <c r="V56" s="72"/>
      <c r="W56" s="77" t="str">
        <f t="shared" si="6"/>
      </c>
      <c r="X56" s="74" t="str">
        <f t="shared" si="7"/>
      </c>
      <c r="Y56" s="75" t="str">
        <f t="shared" si="8"/>
      </c>
      <c r="Z56" s="78" t="str">
        <f t="shared" si="9"/>
      </c>
      <c r="AA56" s="79" t="str">
        <f t="shared" si="10"/>
      </c>
      <c r="AB56" s="80" t="str">
        <f t="shared" si="11"/>
      </c>
      <c r="AC56" s="81" t="str">
        <f t="array" ref="AC56">IF(AB56="","",IFERROR(INDEX(HELPER!$D$8:$D$48,IF(AB56&gt;=HELPER!$B$8,1,MATCH(AB56,HELPER!$B$8:$B$48,-1)+1)),""))</f>
      </c>
      <c r="AD56" s="82" t="str">
        <f>IF(AC56="","",IFERROR(VLOOKUP(AC56,HELPER!$F$8:$G$48,2,FALSE),""))</f>
      </c>
      <c r="AE56" s="3"/>
      <c r="AF56" s="4"/>
    </row>
    <row r="57" spans="1:32" ht="15" customHeight="1" x14ac:dyDescent="0.15">
      <c r="A57" s="3"/>
      <c r="B57" s="98">
        <v>40</v>
      </c>
      <c r="C57" s="184" t="str">
        <f>IF('INPUT DATA'!K50="","",'INPUT DATA'!K50)</f>
      </c>
      <c r="D57" s="185"/>
      <c r="E57" s="186"/>
      <c r="F57" s="70"/>
      <c r="G57" s="71"/>
      <c r="H57" s="71"/>
      <c r="I57" s="71"/>
      <c r="J57" s="72"/>
      <c r="K57" s="73" t="str">
        <f t="shared" si="0"/>
      </c>
      <c r="L57" s="76" t="str">
        <f t="shared" si="1"/>
      </c>
      <c r="M57" s="75" t="str">
        <f t="shared" si="2"/>
      </c>
      <c r="N57" s="70"/>
      <c r="O57" s="71"/>
      <c r="P57" s="72"/>
      <c r="Q57" s="73" t="str">
        <f t="shared" si="3"/>
      </c>
      <c r="R57" s="74" t="str">
        <f t="shared" si="4"/>
      </c>
      <c r="S57" s="75" t="str">
        <f t="shared" si="5"/>
      </c>
      <c r="T57" s="70"/>
      <c r="U57" s="71"/>
      <c r="V57" s="72"/>
      <c r="W57" s="77" t="str">
        <f t="shared" si="6"/>
      </c>
      <c r="X57" s="74" t="str">
        <f t="shared" si="7"/>
      </c>
      <c r="Y57" s="75" t="str">
        <f t="shared" si="8"/>
      </c>
      <c r="Z57" s="78" t="str">
        <f t="shared" si="9"/>
      </c>
      <c r="AA57" s="79" t="str">
        <f t="shared" si="10"/>
      </c>
      <c r="AB57" s="80" t="str">
        <f t="shared" si="11"/>
      </c>
      <c r="AC57" s="81" t="str">
        <f t="array" ref="AC57">IF(AB57="","",IFERROR(INDEX(HELPER!$D$8:$D$48,IF(AB57&gt;=HELPER!$B$8,1,MATCH(AB57,HELPER!$B$8:$B$48,-1)+1)),""))</f>
      </c>
      <c r="AD57" s="82" t="str">
        <f>IF(AC57="","",IFERROR(VLOOKUP(AC57,HELPER!$F$8:$G$48,2,FALSE),""))</f>
      </c>
      <c r="AE57" s="3"/>
      <c r="AF57" s="4"/>
    </row>
    <row r="58" spans="1:32" ht="15" customHeight="1" x14ac:dyDescent="0.15">
      <c r="A58" s="3"/>
      <c r="B58" s="98">
        <v>41</v>
      </c>
      <c r="C58" s="184" t="str">
        <f>IF('INPUT DATA'!K51="","",'INPUT DATA'!K51)</f>
      </c>
      <c r="D58" s="185"/>
      <c r="E58" s="186"/>
      <c r="F58" s="70"/>
      <c r="G58" s="71"/>
      <c r="H58" s="71"/>
      <c r="I58" s="71"/>
      <c r="J58" s="72"/>
      <c r="K58" s="73" t="str">
        <f t="shared" si="0"/>
      </c>
      <c r="L58" s="76" t="str">
        <f t="shared" si="1"/>
      </c>
      <c r="M58" s="75" t="str">
        <f t="shared" si="2"/>
      </c>
      <c r="N58" s="70"/>
      <c r="O58" s="71"/>
      <c r="P58" s="72"/>
      <c r="Q58" s="73" t="str">
        <f t="shared" si="3"/>
      </c>
      <c r="R58" s="74" t="str">
        <f t="shared" si="4"/>
      </c>
      <c r="S58" s="75" t="str">
        <f t="shared" si="5"/>
      </c>
      <c r="T58" s="70"/>
      <c r="U58" s="71"/>
      <c r="V58" s="72"/>
      <c r="W58" s="77" t="str">
        <f t="shared" si="6"/>
      </c>
      <c r="X58" s="74" t="str">
        <f t="shared" si="7"/>
      </c>
      <c r="Y58" s="75" t="str">
        <f t="shared" si="8"/>
      </c>
      <c r="Z58" s="78" t="str">
        <f t="shared" si="9"/>
      </c>
      <c r="AA58" s="79" t="str">
        <f t="shared" si="10"/>
      </c>
      <c r="AB58" s="80" t="str">
        <f t="shared" si="11"/>
      </c>
      <c r="AC58" s="81" t="str">
        <f t="array" ref="AC58">IF(AB58="","",IFERROR(INDEX(HELPER!$D$8:$D$48,IF(AB58&gt;=HELPER!$B$8,1,MATCH(AB58,HELPER!$B$8:$B$48,-1)+1)),""))</f>
      </c>
      <c r="AD58" s="82" t="str">
        <f>IF(AC58="","",IFERROR(VLOOKUP(AC58,HELPER!$F$8:$G$48,2,FALSE),""))</f>
      </c>
      <c r="AE58" s="3"/>
      <c r="AF58" s="4"/>
    </row>
    <row r="59" spans="1:32" ht="15" customHeight="1" x14ac:dyDescent="0.15">
      <c r="A59" s="3"/>
      <c r="B59" s="98">
        <v>42</v>
      </c>
      <c r="C59" s="184" t="str">
        <f>IF('INPUT DATA'!K52="","",'INPUT DATA'!K52)</f>
      </c>
      <c r="D59" s="185"/>
      <c r="E59" s="186"/>
      <c r="F59" s="70"/>
      <c r="G59" s="71"/>
      <c r="H59" s="71"/>
      <c r="I59" s="71"/>
      <c r="J59" s="72"/>
      <c r="K59" s="73" t="str">
        <f t="shared" si="0"/>
      </c>
      <c r="L59" s="76" t="str">
        <f t="shared" si="1"/>
      </c>
      <c r="M59" s="75" t="str">
        <f t="shared" si="2"/>
      </c>
      <c r="N59" s="70"/>
      <c r="O59" s="71"/>
      <c r="P59" s="72"/>
      <c r="Q59" s="73" t="str">
        <f t="shared" si="3"/>
      </c>
      <c r="R59" s="74" t="str">
        <f t="shared" si="4"/>
      </c>
      <c r="S59" s="75" t="str">
        <f t="shared" si="5"/>
      </c>
      <c r="T59" s="70"/>
      <c r="U59" s="71"/>
      <c r="V59" s="72"/>
      <c r="W59" s="77" t="str">
        <f t="shared" si="6"/>
      </c>
      <c r="X59" s="74" t="str">
        <f t="shared" si="7"/>
      </c>
      <c r="Y59" s="75" t="str">
        <f t="shared" si="8"/>
      </c>
      <c r="Z59" s="78" t="str">
        <f t="shared" si="9"/>
      </c>
      <c r="AA59" s="79" t="str">
        <f t="shared" si="10"/>
      </c>
      <c r="AB59" s="80" t="str">
        <f t="shared" si="11"/>
      </c>
      <c r="AC59" s="81" t="str">
        <f t="array" ref="AC59">IF(AB59="","",IFERROR(INDEX(HELPER!$D$8:$D$48,IF(AB59&gt;=HELPER!$B$8,1,MATCH(AB59,HELPER!$B$8:$B$48,-1)+1)),""))</f>
      </c>
      <c r="AD59" s="82" t="str">
        <f>IF(AC59="","",IFERROR(VLOOKUP(AC59,HELPER!$F$8:$G$48,2,FALSE),""))</f>
      </c>
      <c r="AE59" s="3"/>
      <c r="AF59" s="4"/>
    </row>
    <row r="60" spans="1:32" ht="15" customHeight="1" x14ac:dyDescent="0.15">
      <c r="A60" s="3"/>
      <c r="B60" s="98">
        <v>43</v>
      </c>
      <c r="C60" s="184" t="str">
        <f>IF('INPUT DATA'!K53="","",'INPUT DATA'!K53)</f>
      </c>
      <c r="D60" s="185"/>
      <c r="E60" s="186"/>
      <c r="F60" s="70"/>
      <c r="G60" s="71"/>
      <c r="H60" s="71"/>
      <c r="I60" s="71"/>
      <c r="J60" s="72"/>
      <c r="K60" s="73" t="str">
        <f t="shared" si="0"/>
      </c>
      <c r="L60" s="76" t="str">
        <f t="shared" si="1"/>
      </c>
      <c r="M60" s="75" t="str">
        <f t="shared" si="2"/>
      </c>
      <c r="N60" s="70"/>
      <c r="O60" s="71"/>
      <c r="P60" s="72"/>
      <c r="Q60" s="73" t="str">
        <f t="shared" si="3"/>
      </c>
      <c r="R60" s="74" t="str">
        <f t="shared" si="4"/>
      </c>
      <c r="S60" s="75" t="str">
        <f t="shared" si="5"/>
      </c>
      <c r="T60" s="70"/>
      <c r="U60" s="71"/>
      <c r="V60" s="72"/>
      <c r="W60" s="77" t="str">
        <f t="shared" si="6"/>
      </c>
      <c r="X60" s="74" t="str">
        <f t="shared" si="7"/>
      </c>
      <c r="Y60" s="75" t="str">
        <f t="shared" si="8"/>
      </c>
      <c r="Z60" s="78" t="str">
        <f t="shared" si="9"/>
      </c>
      <c r="AA60" s="79" t="str">
        <f t="shared" si="10"/>
      </c>
      <c r="AB60" s="80" t="str">
        <f t="shared" si="11"/>
      </c>
      <c r="AC60" s="81" t="str">
        <f t="array" ref="AC60">IF(AB60="","",IFERROR(INDEX(HELPER!$D$8:$D$48,IF(AB60&gt;=HELPER!$B$8,1,MATCH(AB60,HELPER!$B$8:$B$48,-1)+1)),""))</f>
      </c>
      <c r="AD60" s="82" t="str">
        <f>IF(AC60="","",IFERROR(VLOOKUP(AC60,HELPER!$F$8:$G$48,2,FALSE),""))</f>
      </c>
      <c r="AE60" s="3"/>
      <c r="AF60" s="4"/>
    </row>
    <row r="61" spans="1:32" ht="15" customHeight="1" x14ac:dyDescent="0.15">
      <c r="A61" s="3"/>
      <c r="B61" s="98">
        <v>44</v>
      </c>
      <c r="C61" s="184" t="str">
        <f>IF('INPUT DATA'!K54="","",'INPUT DATA'!K54)</f>
      </c>
      <c r="D61" s="185"/>
      <c r="E61" s="186"/>
      <c r="F61" s="70"/>
      <c r="G61" s="71"/>
      <c r="H61" s="71"/>
      <c r="I61" s="71"/>
      <c r="J61" s="72"/>
      <c r="K61" s="73" t="str">
        <f t="shared" si="0"/>
      </c>
      <c r="L61" s="76" t="str">
        <f t="shared" si="1"/>
      </c>
      <c r="M61" s="75" t="str">
        <f t="shared" si="2"/>
      </c>
      <c r="N61" s="70"/>
      <c r="O61" s="71"/>
      <c r="P61" s="72"/>
      <c r="Q61" s="73" t="str">
        <f t="shared" si="3"/>
      </c>
      <c r="R61" s="74" t="str">
        <f t="shared" si="4"/>
      </c>
      <c r="S61" s="75" t="str">
        <f t="shared" si="5"/>
      </c>
      <c r="T61" s="70"/>
      <c r="U61" s="71"/>
      <c r="V61" s="72"/>
      <c r="W61" s="77" t="str">
        <f t="shared" si="6"/>
      </c>
      <c r="X61" s="74" t="str">
        <f t="shared" si="7"/>
      </c>
      <c r="Y61" s="75" t="str">
        <f t="shared" si="8"/>
      </c>
      <c r="Z61" s="78" t="str">
        <f t="shared" si="9"/>
      </c>
      <c r="AA61" s="79" t="str">
        <f t="shared" si="10"/>
      </c>
      <c r="AB61" s="80" t="str">
        <f t="shared" si="11"/>
      </c>
      <c r="AC61" s="81" t="str">
        <f t="array" ref="AC61">IF(AB61="","",IFERROR(INDEX(HELPER!$D$8:$D$48,IF(AB61&gt;=HELPER!$B$8,1,MATCH(AB61,HELPER!$B$8:$B$48,-1)+1)),""))</f>
      </c>
      <c r="AD61" s="82" t="str">
        <f>IF(AC61="","",IFERROR(VLOOKUP(AC61,HELPER!$F$8:$G$48,2,FALSE),""))</f>
      </c>
      <c r="AE61" s="3"/>
      <c r="AF61" s="4"/>
    </row>
    <row r="62" spans="1:32" ht="15" customHeight="1" x14ac:dyDescent="0.15">
      <c r="A62" s="3"/>
      <c r="B62" s="98">
        <v>45</v>
      </c>
      <c r="C62" s="184" t="str">
        <f>IF('INPUT DATA'!K55="","",'INPUT DATA'!K55)</f>
      </c>
      <c r="D62" s="185"/>
      <c r="E62" s="186"/>
      <c r="F62" s="70"/>
      <c r="G62" s="71"/>
      <c r="H62" s="71"/>
      <c r="I62" s="71"/>
      <c r="J62" s="72"/>
      <c r="K62" s="73" t="str">
        <f t="shared" si="0"/>
      </c>
      <c r="L62" s="76" t="str">
        <f t="shared" si="1"/>
      </c>
      <c r="M62" s="75" t="str">
        <f t="shared" si="2"/>
      </c>
      <c r="N62" s="70"/>
      <c r="O62" s="71"/>
      <c r="P62" s="72"/>
      <c r="Q62" s="73" t="str">
        <f t="shared" si="3"/>
      </c>
      <c r="R62" s="74" t="str">
        <f t="shared" si="4"/>
      </c>
      <c r="S62" s="75" t="str">
        <f t="shared" si="5"/>
      </c>
      <c r="T62" s="70"/>
      <c r="U62" s="71"/>
      <c r="V62" s="72"/>
      <c r="W62" s="77" t="str">
        <f t="shared" si="6"/>
      </c>
      <c r="X62" s="74" t="str">
        <f t="shared" si="7"/>
      </c>
      <c r="Y62" s="75" t="str">
        <f t="shared" si="8"/>
      </c>
      <c r="Z62" s="78" t="str">
        <f t="shared" si="9"/>
      </c>
      <c r="AA62" s="79" t="str">
        <f t="shared" si="10"/>
      </c>
      <c r="AB62" s="80" t="str">
        <f t="shared" si="11"/>
      </c>
      <c r="AC62" s="81" t="str">
        <f t="array" ref="AC62">IF(AB62="","",IFERROR(INDEX(HELPER!$D$8:$D$48,IF(AB62&gt;=HELPER!$B$8,1,MATCH(AB62,HELPER!$B$8:$B$48,-1)+1)),""))</f>
      </c>
      <c r="AD62" s="82" t="str">
        <f>IF(AC62="","",IFERROR(VLOOKUP(AC62,HELPER!$F$8:$G$48,2,FALSE),""))</f>
      </c>
      <c r="AE62" s="3"/>
      <c r="AF62" s="4"/>
    </row>
    <row r="63" spans="1:32" ht="15" customHeight="1" x14ac:dyDescent="0.15">
      <c r="A63" s="3"/>
      <c r="B63" s="98">
        <v>46</v>
      </c>
      <c r="C63" s="184" t="str">
        <f>IF('INPUT DATA'!K56="","",'INPUT DATA'!K56)</f>
      </c>
      <c r="D63" s="185"/>
      <c r="E63" s="186"/>
      <c r="F63" s="70"/>
      <c r="G63" s="71"/>
      <c r="H63" s="71"/>
      <c r="I63" s="71"/>
      <c r="J63" s="72"/>
      <c r="K63" s="73" t="str">
        <f t="shared" si="0"/>
      </c>
      <c r="L63" s="76" t="str">
        <f t="shared" si="1"/>
      </c>
      <c r="M63" s="75" t="str">
        <f t="shared" si="2"/>
      </c>
      <c r="N63" s="70"/>
      <c r="O63" s="71"/>
      <c r="P63" s="72"/>
      <c r="Q63" s="73" t="str">
        <f t="shared" si="3"/>
      </c>
      <c r="R63" s="74" t="str">
        <f t="shared" si="4"/>
      </c>
      <c r="S63" s="75" t="str">
        <f t="shared" si="5"/>
      </c>
      <c r="T63" s="70"/>
      <c r="U63" s="71"/>
      <c r="V63" s="72"/>
      <c r="W63" s="77" t="str">
        <f t="shared" si="6"/>
      </c>
      <c r="X63" s="74" t="str">
        <f t="shared" si="7"/>
      </c>
      <c r="Y63" s="75" t="str">
        <f t="shared" si="8"/>
      </c>
      <c r="Z63" s="78" t="str">
        <f t="shared" si="9"/>
      </c>
      <c r="AA63" s="79" t="str">
        <f t="shared" si="10"/>
      </c>
      <c r="AB63" s="80" t="str">
        <f t="shared" si="11"/>
      </c>
      <c r="AC63" s="81" t="str">
        <f t="array" ref="AC63">IF(AB63="","",IFERROR(INDEX(HELPER!$D$8:$D$48,IF(AB63&gt;=HELPER!$B$8,1,MATCH(AB63,HELPER!$B$8:$B$48,-1)+1)),""))</f>
      </c>
      <c r="AD63" s="82" t="str">
        <f>IF(AC63="","",IFERROR(VLOOKUP(AC63,HELPER!$F$8:$G$48,2,FALSE),""))</f>
      </c>
      <c r="AE63" s="3"/>
      <c r="AF63" s="4"/>
    </row>
    <row r="64" spans="1:32" ht="15" customHeight="1" x14ac:dyDescent="0.15">
      <c r="A64" s="3"/>
      <c r="B64" s="98">
        <v>47</v>
      </c>
      <c r="C64" s="184" t="str">
        <f>IF('INPUT DATA'!K57="","",'INPUT DATA'!K57)</f>
      </c>
      <c r="D64" s="185"/>
      <c r="E64" s="186"/>
      <c r="F64" s="70"/>
      <c r="G64" s="71"/>
      <c r="H64" s="71"/>
      <c r="I64" s="71"/>
      <c r="J64" s="72"/>
      <c r="K64" s="73" t="str">
        <f t="shared" si="0"/>
      </c>
      <c r="L64" s="76" t="str">
        <f t="shared" si="1"/>
      </c>
      <c r="M64" s="75" t="str">
        <f t="shared" si="2"/>
      </c>
      <c r="N64" s="70"/>
      <c r="O64" s="71"/>
      <c r="P64" s="72"/>
      <c r="Q64" s="73" t="str">
        <f t="shared" si="3"/>
      </c>
      <c r="R64" s="74" t="str">
        <f t="shared" si="4"/>
      </c>
      <c r="S64" s="75" t="str">
        <f t="shared" si="5"/>
      </c>
      <c r="T64" s="70"/>
      <c r="U64" s="71"/>
      <c r="V64" s="72"/>
      <c r="W64" s="77" t="str">
        <f t="shared" si="6"/>
      </c>
      <c r="X64" s="74" t="str">
        <f t="shared" si="7"/>
      </c>
      <c r="Y64" s="75" t="str">
        <f t="shared" si="8"/>
      </c>
      <c r="Z64" s="78" t="str">
        <f t="shared" si="9"/>
      </c>
      <c r="AA64" s="79" t="str">
        <f t="shared" si="10"/>
      </c>
      <c r="AB64" s="80" t="str">
        <f t="shared" si="11"/>
      </c>
      <c r="AC64" s="81" t="str">
        <f t="array" ref="AC64">IF(AB64="","",IFERROR(INDEX(HELPER!$D$8:$D$48,IF(AB64&gt;=HELPER!$B$8,1,MATCH(AB64,HELPER!$B$8:$B$48,-1)+1)),""))</f>
      </c>
      <c r="AD64" s="82" t="str">
        <f>IF(AC64="","",IFERROR(VLOOKUP(AC64,HELPER!$F$8:$G$48,2,FALSE),""))</f>
      </c>
      <c r="AE64" s="3"/>
      <c r="AF64" s="4"/>
    </row>
    <row r="65" spans="1:32" ht="15" customHeight="1" x14ac:dyDescent="0.15">
      <c r="A65" s="3"/>
      <c r="B65" s="98">
        <v>48</v>
      </c>
      <c r="C65" s="184" t="str">
        <f>IF('INPUT DATA'!K58="","",'INPUT DATA'!K58)</f>
      </c>
      <c r="D65" s="185"/>
      <c r="E65" s="186"/>
      <c r="F65" s="70"/>
      <c r="G65" s="71"/>
      <c r="H65" s="71"/>
      <c r="I65" s="71"/>
      <c r="J65" s="72"/>
      <c r="K65" s="73" t="str">
        <f t="shared" si="0"/>
      </c>
      <c r="L65" s="76" t="str">
        <f t="shared" si="1"/>
      </c>
      <c r="M65" s="75" t="str">
        <f t="shared" si="2"/>
      </c>
      <c r="N65" s="70"/>
      <c r="O65" s="71"/>
      <c r="P65" s="72"/>
      <c r="Q65" s="73" t="str">
        <f t="shared" si="3"/>
      </c>
      <c r="R65" s="74" t="str">
        <f t="shared" si="4"/>
      </c>
      <c r="S65" s="75" t="str">
        <f t="shared" si="5"/>
      </c>
      <c r="T65" s="70"/>
      <c r="U65" s="71"/>
      <c r="V65" s="72"/>
      <c r="W65" s="77" t="str">
        <f t="shared" si="6"/>
      </c>
      <c r="X65" s="74" t="str">
        <f t="shared" si="7"/>
      </c>
      <c r="Y65" s="75" t="str">
        <f t="shared" si="8"/>
      </c>
      <c r="Z65" s="78" t="str">
        <f t="shared" si="9"/>
      </c>
      <c r="AA65" s="79" t="str">
        <f t="shared" si="10"/>
      </c>
      <c r="AB65" s="80" t="str">
        <f t="shared" si="11"/>
      </c>
      <c r="AC65" s="81" t="str">
        <f t="array" ref="AC65">IF(AB65="","",IFERROR(INDEX(HELPER!$D$8:$D$48,IF(AB65&gt;=HELPER!$B$8,1,MATCH(AB65,HELPER!$B$8:$B$48,-1)+1)),""))</f>
      </c>
      <c r="AD65" s="82" t="str">
        <f>IF(AC65="","",IFERROR(VLOOKUP(AC65,HELPER!$F$8:$G$48,2,FALSE),""))</f>
      </c>
      <c r="AE65" s="3"/>
      <c r="AF65" s="4"/>
    </row>
    <row r="66" spans="1:32" ht="15" customHeight="1" x14ac:dyDescent="0.15">
      <c r="A66" s="3"/>
      <c r="B66" s="98">
        <v>49</v>
      </c>
      <c r="C66" s="184" t="str">
        <f>IF('INPUT DATA'!K59="","",'INPUT DATA'!K59)</f>
      </c>
      <c r="D66" s="185"/>
      <c r="E66" s="186"/>
      <c r="F66" s="70"/>
      <c r="G66" s="71"/>
      <c r="H66" s="71"/>
      <c r="I66" s="71"/>
      <c r="J66" s="72"/>
      <c r="K66" s="73" t="str">
        <f t="shared" si="0"/>
      </c>
      <c r="L66" s="76" t="str">
        <f t="shared" si="1"/>
      </c>
      <c r="M66" s="75" t="str">
        <f t="shared" si="2"/>
      </c>
      <c r="N66" s="70"/>
      <c r="O66" s="71"/>
      <c r="P66" s="72"/>
      <c r="Q66" s="73" t="str">
        <f t="shared" si="3"/>
      </c>
      <c r="R66" s="74" t="str">
        <f t="shared" si="4"/>
      </c>
      <c r="S66" s="75" t="str">
        <f t="shared" si="5"/>
      </c>
      <c r="T66" s="70"/>
      <c r="U66" s="71"/>
      <c r="V66" s="72"/>
      <c r="W66" s="77" t="str">
        <f t="shared" si="6"/>
      </c>
      <c r="X66" s="74" t="str">
        <f t="shared" si="7"/>
      </c>
      <c r="Y66" s="75" t="str">
        <f t="shared" si="8"/>
      </c>
      <c r="Z66" s="78" t="str">
        <f t="shared" si="9"/>
      </c>
      <c r="AA66" s="79" t="str">
        <f t="shared" si="10"/>
      </c>
      <c r="AB66" s="80" t="str">
        <f t="shared" si="11"/>
      </c>
      <c r="AC66" s="81" t="str">
        <f t="array" ref="AC66">IF(AB66="","",IFERROR(INDEX(HELPER!$D$8:$D$48,IF(AB66&gt;=HELPER!$B$8,1,MATCH(AB66,HELPER!$B$8:$B$48,-1)+1)),""))</f>
      </c>
      <c r="AD66" s="82" t="str">
        <f>IF(AC66="","",IFERROR(VLOOKUP(AC66,HELPER!$F$8:$G$48,2,FALSE),""))</f>
      </c>
      <c r="AE66" s="3"/>
      <c r="AF66" s="4"/>
    </row>
    <row r="67" spans="1:32" ht="15" customHeight="1" x14ac:dyDescent="0.15">
      <c r="A67" s="3"/>
      <c r="B67" s="98">
        <v>50</v>
      </c>
      <c r="C67" s="184" t="str">
        <f>IF('INPUT DATA'!K60="","",'INPUT DATA'!K60)</f>
      </c>
      <c r="D67" s="185"/>
      <c r="E67" s="186"/>
      <c r="F67" s="112"/>
      <c r="G67" s="113"/>
      <c r="H67" s="113"/>
      <c r="I67" s="113"/>
      <c r="J67" s="114"/>
      <c r="K67" s="73" t="str">
        <f t="shared" si="0"/>
      </c>
      <c r="L67" s="76" t="str">
        <f t="shared" si="1"/>
      </c>
      <c r="M67" s="75" t="str">
        <f t="shared" si="2"/>
      </c>
      <c r="N67" s="112"/>
      <c r="O67" s="113"/>
      <c r="P67" s="114"/>
      <c r="Q67" s="73" t="str">
        <f t="shared" si="3"/>
      </c>
      <c r="R67" s="74" t="str">
        <f t="shared" si="4"/>
      </c>
      <c r="S67" s="75" t="str">
        <f t="shared" si="5"/>
      </c>
      <c r="T67" s="112"/>
      <c r="U67" s="113"/>
      <c r="V67" s="114"/>
      <c r="W67" s="77" t="str">
        <f t="shared" si="6"/>
      </c>
      <c r="X67" s="74" t="str">
        <f t="shared" si="7"/>
      </c>
      <c r="Y67" s="75" t="str">
        <f t="shared" si="8"/>
      </c>
      <c r="Z67" s="78" t="str">
        <f t="shared" si="9"/>
      </c>
      <c r="AA67" s="79" t="str">
        <f t="shared" si="10"/>
      </c>
      <c r="AB67" s="80" t="str">
        <f t="shared" si="11"/>
      </c>
      <c r="AC67" s="115" t="str">
        <f t="array" ref="AC67">IF(AB67="","",IFERROR(INDEX(HELPER!$D$8:$D$48,IF(AB67&gt;=HELPER!$B$8,1,MATCH(AB67,HELPER!$B$8:$B$48,-1)+1)),""))</f>
      </c>
      <c r="AD67" s="116" t="str">
        <f>IF(AC67="","",IFERROR(VLOOKUP(AC67,HELPER!$F$8:$G$48,2,FALSE),""))</f>
      </c>
      <c r="AE67" s="3"/>
      <c r="AF67" s="4"/>
    </row>
    <row r="68" spans="1:32" ht="15.75" customHeight="1" x14ac:dyDescent="0.15">
      <c r="A68" s="3"/>
      <c r="B68" s="187" t="s">
        <v>7</v>
      </c>
      <c r="C68" s="188"/>
      <c r="D68" s="188"/>
      <c r="E68" s="188"/>
      <c r="F68" s="188"/>
      <c r="G68" s="188"/>
      <c r="H68" s="188"/>
      <c r="I68" s="188"/>
      <c r="J68" s="188"/>
      <c r="K68" s="188"/>
      <c r="L68" s="188"/>
      <c r="M68" s="188"/>
      <c r="N68" s="188"/>
      <c r="O68" s="188"/>
      <c r="P68" s="188"/>
      <c r="Q68" s="188"/>
      <c r="R68" s="188"/>
      <c r="S68" s="188"/>
      <c r="T68" s="188"/>
      <c r="U68" s="188"/>
      <c r="V68" s="188"/>
      <c r="W68" s="188"/>
      <c r="X68" s="188"/>
      <c r="Y68" s="188"/>
      <c r="Z68" s="188"/>
      <c r="AA68" s="188"/>
      <c r="AB68" s="188"/>
      <c r="AC68" s="188"/>
      <c r="AD68" s="189"/>
      <c r="AE68" s="3"/>
      <c r="AF68" s="4"/>
    </row>
    <row r="69" spans="1:32" ht="15" customHeight="1" x14ac:dyDescent="0.15">
      <c r="A69" s="3"/>
      <c r="B69" s="117">
        <v>1</v>
      </c>
      <c r="C69" s="178" t="str">
        <f>IF('INPUT DATA'!N11="","",'INPUT DATA'!N11)</f>
      </c>
      <c r="D69" s="179"/>
      <c r="E69" s="180"/>
      <c r="F69" s="54"/>
      <c r="G69" s="55"/>
      <c r="H69" s="55"/>
      <c r="I69" s="55"/>
      <c r="J69" s="56"/>
      <c r="K69" s="118" t="str">
        <f t="shared" ref="K69:K118" si="12">IF(COUNT($F69:$J69)=0,"",SUM($F69:$J69))</f>
      </c>
      <c r="L69" s="119" t="str">
        <f t="shared" ref="L69:L118" si="13">IF(COUNT(F69:J69)=0,"",IFERROR(K69/$K$15*$L$15,""))</f>
      </c>
      <c r="M69" s="120" t="str">
        <f t="shared" ref="M69:M118" si="14">IF(L69="","",L69*$M$15)</f>
      </c>
      <c r="N69" s="54"/>
      <c r="O69" s="55"/>
      <c r="P69" s="56"/>
      <c r="Q69" s="118" t="str">
        <f t="shared" ref="Q69:Q118" si="15">IF(COUNT(N69:P69)=0,"",SUM(N69:P69))</f>
      </c>
      <c r="R69" s="119" t="str">
        <f t="shared" ref="R69:R118" si="16">IF(COUNT(N69:P69)=0,"",IFERROR(Q69/$Q$15*$R$15,""))</f>
      </c>
      <c r="S69" s="120" t="str">
        <f t="shared" ref="S69:S118" si="17">IF(R69="","",R69*$S$15)</f>
      </c>
      <c r="T69" s="54"/>
      <c r="U69" s="55"/>
      <c r="V69" s="56"/>
      <c r="W69" s="121" t="str">
        <f t="shared" ref="W69:W118" si="18">IF(T69="","",IFERROR(T69/$T$15*$W$15,""))</f>
      </c>
      <c r="X69" s="119" t="str">
        <f t="shared" ref="X69:X118" si="19">IF(U69="","",IFERROR(U69/$U$15*$X$15,""))</f>
      </c>
      <c r="Y69" s="120" t="str">
        <f t="shared" ref="Y69:Y118" si="20">IF(V69="","",IFERROR(V69/$V$15*$Y$15,""))</f>
      </c>
      <c r="Z69" s="122" t="str">
        <f t="shared" ref="Z69:Z118" si="21">IF(COUNT(T69:V69)=0,"",SUM(W69:Y69))</f>
      </c>
      <c r="AA69" s="123" t="str">
        <f t="shared" ref="AA69:AA118" si="22">IF(Z69="","",Z69*$AA$15)</f>
      </c>
      <c r="AB69" s="124" t="str">
        <f t="shared" ref="AB69:AB118" si="23">IF(COUNT(F69:J69,N69:P69,T69:V69)=0,"",SUM(M69,S69,AA69))</f>
      </c>
      <c r="AC69" s="67" t="str">
        <f t="array" ref="AC69">IF(AB69="","",IFERROR(INDEX(HELPER!$D$8:$D$48,IF(AB69&gt;=HELPER!$B$8,1,MATCH(AB69,HELPER!$B$8:$B$48,-1)+1)),""))</f>
      </c>
      <c r="AD69" s="68" t="str">
        <f>IF(AC69="","",IFERROR(VLOOKUP(AC69,HELPER!$F$8:$G$48,2,FALSE),""))</f>
      </c>
      <c r="AE69" s="3"/>
      <c r="AF69" s="4"/>
    </row>
    <row r="70" spans="1:32" ht="15" customHeight="1" x14ac:dyDescent="0.15">
      <c r="A70" s="3"/>
      <c r="B70" s="125">
        <v>2</v>
      </c>
      <c r="C70" s="181" t="str">
        <f>IF('INPUT DATA'!N12="","",'INPUT DATA'!N12)</f>
      </c>
      <c r="D70" s="182"/>
      <c r="E70" s="183"/>
      <c r="F70" s="70"/>
      <c r="G70" s="71"/>
      <c r="H70" s="71"/>
      <c r="I70" s="71"/>
      <c r="J70" s="72"/>
      <c r="K70" s="73" t="str">
        <f t="shared" si="12"/>
      </c>
      <c r="L70" s="74" t="str">
        <f t="shared" si="13"/>
      </c>
      <c r="M70" s="75" t="str">
        <f t="shared" si="14"/>
      </c>
      <c r="N70" s="70"/>
      <c r="O70" s="71"/>
      <c r="P70" s="72"/>
      <c r="Q70" s="73" t="str">
        <f t="shared" si="15"/>
      </c>
      <c r="R70" s="74" t="str">
        <f t="shared" si="16"/>
      </c>
      <c r="S70" s="75" t="str">
        <f t="shared" si="17"/>
      </c>
      <c r="T70" s="70"/>
      <c r="U70" s="71"/>
      <c r="V70" s="72"/>
      <c r="W70" s="77" t="str">
        <f t="shared" si="18"/>
      </c>
      <c r="X70" s="74" t="str">
        <f t="shared" si="19"/>
      </c>
      <c r="Y70" s="75" t="str">
        <f t="shared" si="20"/>
      </c>
      <c r="Z70" s="78" t="str">
        <f t="shared" si="21"/>
      </c>
      <c r="AA70" s="79" t="str">
        <f t="shared" si="22"/>
      </c>
      <c r="AB70" s="80" t="str">
        <f t="shared" si="23"/>
      </c>
      <c r="AC70" s="81" t="str">
        <f t="array" ref="AC70">IF(AB70="","",IFERROR(INDEX(HELPER!$D$8:$D$48,IF(AB70&gt;=HELPER!$B$8,1,MATCH(AB70,HELPER!$B$8:$B$48,-1)+1)),""))</f>
      </c>
      <c r="AD70" s="82" t="str">
        <f>IF(AC70="","",IFERROR(VLOOKUP(AC70,HELPER!$F$8:$G$48,2,FALSE),""))</f>
      </c>
      <c r="AE70" s="3"/>
      <c r="AF70" s="4"/>
    </row>
    <row r="71" spans="1:32" ht="15" customHeight="1" x14ac:dyDescent="0.15">
      <c r="A71" s="3"/>
      <c r="B71" s="125">
        <v>3</v>
      </c>
      <c r="C71" s="181" t="str">
        <f>IF('INPUT DATA'!N13="","",'INPUT DATA'!N13)</f>
      </c>
      <c r="D71" s="182"/>
      <c r="E71" s="183"/>
      <c r="F71" s="70"/>
      <c r="G71" s="71"/>
      <c r="H71" s="71"/>
      <c r="I71" s="71"/>
      <c r="J71" s="72"/>
      <c r="K71" s="73" t="str">
        <f t="shared" si="12"/>
      </c>
      <c r="L71" s="74" t="str">
        <f t="shared" si="13"/>
      </c>
      <c r="M71" s="75" t="str">
        <f t="shared" si="14"/>
      </c>
      <c r="N71" s="70"/>
      <c r="O71" s="71"/>
      <c r="P71" s="72"/>
      <c r="Q71" s="73" t="str">
        <f t="shared" si="15"/>
      </c>
      <c r="R71" s="74" t="str">
        <f t="shared" si="16"/>
      </c>
      <c r="S71" s="75" t="str">
        <f t="shared" si="17"/>
      </c>
      <c r="T71" s="70"/>
      <c r="U71" s="71"/>
      <c r="V71" s="72"/>
      <c r="W71" s="77" t="str">
        <f t="shared" si="18"/>
      </c>
      <c r="X71" s="74" t="str">
        <f t="shared" si="19"/>
      </c>
      <c r="Y71" s="75" t="str">
        <f t="shared" si="20"/>
      </c>
      <c r="Z71" s="78" t="str">
        <f t="shared" si="21"/>
      </c>
      <c r="AA71" s="79" t="str">
        <f t="shared" si="22"/>
      </c>
      <c r="AB71" s="80" t="str">
        <f t="shared" si="23"/>
      </c>
      <c r="AC71" s="81" t="str">
        <f t="array" ref="AC71">IF(AB71="","",IFERROR(INDEX(HELPER!$D$8:$D$48,IF(AB71&gt;=HELPER!$B$8,1,MATCH(AB71,HELPER!$B$8:$B$48,-1)+1)),""))</f>
      </c>
      <c r="AD71" s="82" t="str">
        <f>IF(AC71="","",IFERROR(VLOOKUP(AC71,HELPER!$F$8:$G$48,2,FALSE),""))</f>
      </c>
      <c r="AE71" s="3"/>
      <c r="AF71" s="4"/>
    </row>
    <row r="72" spans="1:32" ht="15" customHeight="1" x14ac:dyDescent="0.15">
      <c r="A72" s="3"/>
      <c r="B72" s="125">
        <v>4</v>
      </c>
      <c r="C72" s="181" t="str">
        <f>IF('INPUT DATA'!N14="","",'INPUT DATA'!N14)</f>
      </c>
      <c r="D72" s="182"/>
      <c r="E72" s="183"/>
      <c r="F72" s="70"/>
      <c r="G72" s="71"/>
      <c r="H72" s="71"/>
      <c r="I72" s="71"/>
      <c r="J72" s="72"/>
      <c r="K72" s="73" t="str">
        <f t="shared" si="12"/>
      </c>
      <c r="L72" s="74" t="str">
        <f t="shared" si="13"/>
      </c>
      <c r="M72" s="75" t="str">
        <f t="shared" si="14"/>
      </c>
      <c r="N72" s="70"/>
      <c r="O72" s="71"/>
      <c r="P72" s="72"/>
      <c r="Q72" s="73" t="str">
        <f t="shared" si="15"/>
      </c>
      <c r="R72" s="74" t="str">
        <f t="shared" si="16"/>
      </c>
      <c r="S72" s="75" t="str">
        <f t="shared" si="17"/>
      </c>
      <c r="T72" s="70"/>
      <c r="U72" s="71"/>
      <c r="V72" s="72"/>
      <c r="W72" s="77" t="str">
        <f t="shared" si="18"/>
      </c>
      <c r="X72" s="74" t="str">
        <f t="shared" si="19"/>
      </c>
      <c r="Y72" s="75" t="str">
        <f t="shared" si="20"/>
      </c>
      <c r="Z72" s="78" t="str">
        <f t="shared" si="21"/>
      </c>
      <c r="AA72" s="79" t="str">
        <f t="shared" si="22"/>
      </c>
      <c r="AB72" s="80" t="str">
        <f t="shared" si="23"/>
      </c>
      <c r="AC72" s="81" t="str">
        <f t="array" ref="AC72">IF(AB72="","",IFERROR(INDEX(HELPER!$D$8:$D$48,IF(AB72&gt;=HELPER!$B$8,1,MATCH(AB72,HELPER!$B$8:$B$48,-1)+1)),""))</f>
      </c>
      <c r="AD72" s="82" t="str">
        <f>IF(AC72="","",IFERROR(VLOOKUP(AC72,HELPER!$F$8:$G$48,2,FALSE),""))</f>
      </c>
      <c r="AE72" s="3"/>
      <c r="AF72" s="4"/>
    </row>
    <row r="73" spans="1:32" ht="15" customHeight="1" x14ac:dyDescent="0.15">
      <c r="A73" s="3"/>
      <c r="B73" s="125">
        <v>5</v>
      </c>
      <c r="C73" s="181" t="str">
        <f>IF('INPUT DATA'!N15="","",'INPUT DATA'!N15)</f>
      </c>
      <c r="D73" s="182"/>
      <c r="E73" s="183"/>
      <c r="F73" s="70"/>
      <c r="G73" s="71"/>
      <c r="H73" s="71"/>
      <c r="I73" s="71"/>
      <c r="J73" s="72"/>
      <c r="K73" s="73" t="str">
        <f t="shared" si="12"/>
      </c>
      <c r="L73" s="74" t="str">
        <f t="shared" si="13"/>
      </c>
      <c r="M73" s="75" t="str">
        <f t="shared" si="14"/>
      </c>
      <c r="N73" s="70"/>
      <c r="O73" s="71"/>
      <c r="P73" s="72"/>
      <c r="Q73" s="73" t="str">
        <f t="shared" si="15"/>
      </c>
      <c r="R73" s="74" t="str">
        <f t="shared" si="16"/>
      </c>
      <c r="S73" s="75" t="str">
        <f t="shared" si="17"/>
      </c>
      <c r="T73" s="70"/>
      <c r="U73" s="71"/>
      <c r="V73" s="72"/>
      <c r="W73" s="77" t="str">
        <f t="shared" si="18"/>
      </c>
      <c r="X73" s="74" t="str">
        <f t="shared" si="19"/>
      </c>
      <c r="Y73" s="75" t="str">
        <f t="shared" si="20"/>
      </c>
      <c r="Z73" s="78" t="str">
        <f t="shared" si="21"/>
      </c>
      <c r="AA73" s="79" t="str">
        <f t="shared" si="22"/>
      </c>
      <c r="AB73" s="80" t="str">
        <f t="shared" si="23"/>
      </c>
      <c r="AC73" s="81" t="str">
        <f t="array" ref="AC73">IF(AB73="","",IFERROR(INDEX(HELPER!$D$8:$D$48,IF(AB73&gt;=HELPER!$B$8,1,MATCH(AB73,HELPER!$B$8:$B$48,-1)+1)),""))</f>
      </c>
      <c r="AD73" s="82" t="str">
        <f>IF(AC73="","",IFERROR(VLOOKUP(AC73,HELPER!$F$8:$G$48,2,FALSE),""))</f>
      </c>
      <c r="AE73" s="3"/>
      <c r="AF73" s="4"/>
    </row>
    <row r="74" spans="1:32" ht="15" customHeight="1" x14ac:dyDescent="0.15">
      <c r="A74" s="3"/>
      <c r="B74" s="125">
        <v>6</v>
      </c>
      <c r="C74" s="181" t="str">
        <f>IF('INPUT DATA'!N16="","",'INPUT DATA'!N16)</f>
      </c>
      <c r="D74" s="182"/>
      <c r="E74" s="183"/>
      <c r="F74" s="70"/>
      <c r="G74" s="71"/>
      <c r="H74" s="71"/>
      <c r="I74" s="71"/>
      <c r="J74" s="72"/>
      <c r="K74" s="73" t="str">
        <f t="shared" si="12"/>
      </c>
      <c r="L74" s="74" t="str">
        <f t="shared" si="13"/>
      </c>
      <c r="M74" s="75" t="str">
        <f t="shared" si="14"/>
      </c>
      <c r="N74" s="70"/>
      <c r="O74" s="71"/>
      <c r="P74" s="72"/>
      <c r="Q74" s="73" t="str">
        <f t="shared" si="15"/>
      </c>
      <c r="R74" s="74" t="str">
        <f t="shared" si="16"/>
      </c>
      <c r="S74" s="75" t="str">
        <f t="shared" si="17"/>
      </c>
      <c r="T74" s="70"/>
      <c r="U74" s="71"/>
      <c r="V74" s="72"/>
      <c r="W74" s="77" t="str">
        <f t="shared" si="18"/>
      </c>
      <c r="X74" s="74" t="str">
        <f t="shared" si="19"/>
      </c>
      <c r="Y74" s="75" t="str">
        <f t="shared" si="20"/>
      </c>
      <c r="Z74" s="78" t="str">
        <f t="shared" si="21"/>
      </c>
      <c r="AA74" s="79" t="str">
        <f t="shared" si="22"/>
      </c>
      <c r="AB74" s="80" t="str">
        <f t="shared" si="23"/>
      </c>
      <c r="AC74" s="81" t="str">
        <f t="array" ref="AC74">IF(AB74="","",IFERROR(INDEX(HELPER!$D$8:$D$48,IF(AB74&gt;=HELPER!$B$8,1,MATCH(AB74,HELPER!$B$8:$B$48,-1)+1)),""))</f>
      </c>
      <c r="AD74" s="82" t="str">
        <f>IF(AC74="","",IFERROR(VLOOKUP(AC74,HELPER!$F$8:$G$48,2,FALSE),""))</f>
      </c>
      <c r="AE74" s="3"/>
      <c r="AF74" s="4"/>
    </row>
    <row r="75" spans="1:32" ht="15" customHeight="1" x14ac:dyDescent="0.15">
      <c r="A75" s="3"/>
      <c r="B75" s="125">
        <v>7</v>
      </c>
      <c r="C75" s="181" t="str">
        <f>IF('INPUT DATA'!N17="","",'INPUT DATA'!N17)</f>
      </c>
      <c r="D75" s="182"/>
      <c r="E75" s="183"/>
      <c r="F75" s="70"/>
      <c r="G75" s="71"/>
      <c r="H75" s="71"/>
      <c r="I75" s="71"/>
      <c r="J75" s="72"/>
      <c r="K75" s="73" t="str">
        <f t="shared" si="12"/>
      </c>
      <c r="L75" s="74" t="str">
        <f t="shared" si="13"/>
      </c>
      <c r="M75" s="75" t="str">
        <f t="shared" si="14"/>
      </c>
      <c r="N75" s="70"/>
      <c r="O75" s="71"/>
      <c r="P75" s="72"/>
      <c r="Q75" s="73" t="str">
        <f t="shared" si="15"/>
      </c>
      <c r="R75" s="74" t="str">
        <f t="shared" si="16"/>
      </c>
      <c r="S75" s="75" t="str">
        <f t="shared" si="17"/>
      </c>
      <c r="T75" s="70"/>
      <c r="U75" s="71"/>
      <c r="V75" s="72"/>
      <c r="W75" s="77" t="str">
        <f t="shared" si="18"/>
      </c>
      <c r="X75" s="74" t="str">
        <f t="shared" si="19"/>
      </c>
      <c r="Y75" s="75" t="str">
        <f t="shared" si="20"/>
      </c>
      <c r="Z75" s="78" t="str">
        <f t="shared" si="21"/>
      </c>
      <c r="AA75" s="79" t="str">
        <f t="shared" si="22"/>
      </c>
      <c r="AB75" s="80" t="str">
        <f t="shared" si="23"/>
      </c>
      <c r="AC75" s="81" t="str">
        <f t="array" ref="AC75">IF(AB75="","",IFERROR(INDEX(HELPER!$D$8:$D$48,IF(AB75&gt;=HELPER!$B$8,1,MATCH(AB75,HELPER!$B$8:$B$48,-1)+1)),""))</f>
      </c>
      <c r="AD75" s="82" t="str">
        <f>IF(AC75="","",IFERROR(VLOOKUP(AC75,HELPER!$F$8:$G$48,2,FALSE),""))</f>
      </c>
      <c r="AE75" s="3"/>
      <c r="AF75" s="4"/>
    </row>
    <row r="76" spans="1:32" ht="15" customHeight="1" x14ac:dyDescent="0.15">
      <c r="A76" s="3"/>
      <c r="B76" s="125">
        <v>8</v>
      </c>
      <c r="C76" s="181" t="str">
        <f>IF('INPUT DATA'!N18="","",'INPUT DATA'!N18)</f>
      </c>
      <c r="D76" s="182"/>
      <c r="E76" s="183"/>
      <c r="F76" s="70"/>
      <c r="G76" s="71"/>
      <c r="H76" s="71"/>
      <c r="I76" s="71"/>
      <c r="J76" s="72"/>
      <c r="K76" s="73" t="str">
        <f t="shared" si="12"/>
      </c>
      <c r="L76" s="74" t="str">
        <f t="shared" si="13"/>
      </c>
      <c r="M76" s="75" t="str">
        <f t="shared" si="14"/>
      </c>
      <c r="N76" s="70"/>
      <c r="O76" s="71"/>
      <c r="P76" s="72"/>
      <c r="Q76" s="73" t="str">
        <f t="shared" si="15"/>
      </c>
      <c r="R76" s="74" t="str">
        <f t="shared" si="16"/>
      </c>
      <c r="S76" s="75" t="str">
        <f t="shared" si="17"/>
      </c>
      <c r="T76" s="70"/>
      <c r="U76" s="71"/>
      <c r="V76" s="72"/>
      <c r="W76" s="77" t="str">
        <f t="shared" si="18"/>
      </c>
      <c r="X76" s="74" t="str">
        <f t="shared" si="19"/>
      </c>
      <c r="Y76" s="75" t="str">
        <f t="shared" si="20"/>
      </c>
      <c r="Z76" s="78" t="str">
        <f t="shared" si="21"/>
      </c>
      <c r="AA76" s="79" t="str">
        <f t="shared" si="22"/>
      </c>
      <c r="AB76" s="80" t="str">
        <f t="shared" si="23"/>
      </c>
      <c r="AC76" s="81" t="str">
        <f t="array" ref="AC76">IF(AB76="","",IFERROR(INDEX(HELPER!$D$8:$D$48,IF(AB76&gt;=HELPER!$B$8,1,MATCH(AB76,HELPER!$B$8:$B$48,-1)+1)),""))</f>
      </c>
      <c r="AD76" s="82" t="str">
        <f>IF(AC76="","",IFERROR(VLOOKUP(AC76,HELPER!$F$8:$G$48,2,FALSE),""))</f>
      </c>
      <c r="AE76" s="3"/>
      <c r="AF76" s="4"/>
    </row>
    <row r="77" spans="1:32" ht="15" customHeight="1" x14ac:dyDescent="0.15">
      <c r="A77" s="3"/>
      <c r="B77" s="125">
        <v>9</v>
      </c>
      <c r="C77" s="181" t="str">
        <f>IF('INPUT DATA'!N19="","",'INPUT DATA'!N19)</f>
      </c>
      <c r="D77" s="182"/>
      <c r="E77" s="183"/>
      <c r="F77" s="70"/>
      <c r="G77" s="71"/>
      <c r="H77" s="71"/>
      <c r="I77" s="71"/>
      <c r="J77" s="72"/>
      <c r="K77" s="73" t="str">
        <f t="shared" si="12"/>
      </c>
      <c r="L77" s="74" t="str">
        <f t="shared" si="13"/>
      </c>
      <c r="M77" s="75" t="str">
        <f t="shared" si="14"/>
      </c>
      <c r="N77" s="70"/>
      <c r="O77" s="71"/>
      <c r="P77" s="72"/>
      <c r="Q77" s="73" t="str">
        <f t="shared" si="15"/>
      </c>
      <c r="R77" s="74" t="str">
        <f t="shared" si="16"/>
      </c>
      <c r="S77" s="75" t="str">
        <f t="shared" si="17"/>
      </c>
      <c r="T77" s="70"/>
      <c r="U77" s="71"/>
      <c r="V77" s="72"/>
      <c r="W77" s="77" t="str">
        <f t="shared" si="18"/>
      </c>
      <c r="X77" s="74" t="str">
        <f t="shared" si="19"/>
      </c>
      <c r="Y77" s="75" t="str">
        <f t="shared" si="20"/>
      </c>
      <c r="Z77" s="78" t="str">
        <f t="shared" si="21"/>
      </c>
      <c r="AA77" s="79" t="str">
        <f t="shared" si="22"/>
      </c>
      <c r="AB77" s="80" t="str">
        <f t="shared" si="23"/>
      </c>
      <c r="AC77" s="81" t="str">
        <f t="array" ref="AC77">IF(AB77="","",IFERROR(INDEX(HELPER!$D$8:$D$48,IF(AB77&gt;=HELPER!$B$8,1,MATCH(AB77,HELPER!$B$8:$B$48,-1)+1)),""))</f>
      </c>
      <c r="AD77" s="82" t="str">
        <f>IF(AC77="","",IFERROR(VLOOKUP(AC77,HELPER!$F$8:$G$48,2,FALSE),""))</f>
      </c>
      <c r="AE77" s="3"/>
      <c r="AF77" s="4"/>
    </row>
    <row r="78" spans="1:32" ht="15" customHeight="1" x14ac:dyDescent="0.15">
      <c r="A78" s="3"/>
      <c r="B78" s="125">
        <v>10</v>
      </c>
      <c r="C78" s="181" t="str">
        <f>IF('INPUT DATA'!N20="","",'INPUT DATA'!N20)</f>
      </c>
      <c r="D78" s="182"/>
      <c r="E78" s="183"/>
      <c r="F78" s="70"/>
      <c r="G78" s="71"/>
      <c r="H78" s="71"/>
      <c r="I78" s="71"/>
      <c r="J78" s="72"/>
      <c r="K78" s="73" t="str">
        <f t="shared" si="12"/>
      </c>
      <c r="L78" s="74" t="str">
        <f t="shared" si="13"/>
      </c>
      <c r="M78" s="75" t="str">
        <f t="shared" si="14"/>
      </c>
      <c r="N78" s="70"/>
      <c r="O78" s="71"/>
      <c r="P78" s="72"/>
      <c r="Q78" s="73" t="str">
        <f t="shared" si="15"/>
      </c>
      <c r="R78" s="74" t="str">
        <f t="shared" si="16"/>
      </c>
      <c r="S78" s="75" t="str">
        <f t="shared" si="17"/>
      </c>
      <c r="T78" s="70"/>
      <c r="U78" s="71"/>
      <c r="V78" s="72"/>
      <c r="W78" s="77" t="str">
        <f t="shared" si="18"/>
      </c>
      <c r="X78" s="74" t="str">
        <f t="shared" si="19"/>
      </c>
      <c r="Y78" s="75" t="str">
        <f t="shared" si="20"/>
      </c>
      <c r="Z78" s="78" t="str">
        <f t="shared" si="21"/>
      </c>
      <c r="AA78" s="79" t="str">
        <f t="shared" si="22"/>
      </c>
      <c r="AB78" s="80" t="str">
        <f t="shared" si="23"/>
      </c>
      <c r="AC78" s="81" t="str">
        <f t="array" ref="AC78">IF(AB78="","",IFERROR(INDEX(HELPER!$D$8:$D$48,IF(AB78&gt;=HELPER!$B$8,1,MATCH(AB78,HELPER!$B$8:$B$48,-1)+1)),""))</f>
      </c>
      <c r="AD78" s="82" t="str">
        <f>IF(AC78="","",IFERROR(VLOOKUP(AC78,HELPER!$F$8:$G$48,2,FALSE),""))</f>
      </c>
      <c r="AE78" s="3"/>
      <c r="AF78" s="4"/>
    </row>
    <row r="79" spans="1:32" ht="15" customHeight="1" x14ac:dyDescent="0.15">
      <c r="A79" s="3"/>
      <c r="B79" s="125">
        <v>11</v>
      </c>
      <c r="C79" s="181" t="str">
        <f>IF('INPUT DATA'!N21="","",'INPUT DATA'!N21)</f>
      </c>
      <c r="D79" s="182"/>
      <c r="E79" s="183"/>
      <c r="F79" s="70"/>
      <c r="G79" s="71"/>
      <c r="H79" s="71"/>
      <c r="I79" s="71"/>
      <c r="J79" s="72"/>
      <c r="K79" s="73" t="str">
        <f t="shared" si="12"/>
      </c>
      <c r="L79" s="74" t="str">
        <f t="shared" si="13"/>
      </c>
      <c r="M79" s="75" t="str">
        <f t="shared" si="14"/>
      </c>
      <c r="N79" s="70"/>
      <c r="O79" s="71"/>
      <c r="P79" s="72"/>
      <c r="Q79" s="73" t="str">
        <f t="shared" si="15"/>
      </c>
      <c r="R79" s="74" t="str">
        <f t="shared" si="16"/>
      </c>
      <c r="S79" s="75" t="str">
        <f t="shared" si="17"/>
      </c>
      <c r="T79" s="70"/>
      <c r="U79" s="71"/>
      <c r="V79" s="72"/>
      <c r="W79" s="77" t="str">
        <f t="shared" si="18"/>
      </c>
      <c r="X79" s="74" t="str">
        <f t="shared" si="19"/>
      </c>
      <c r="Y79" s="75" t="str">
        <f t="shared" si="20"/>
      </c>
      <c r="Z79" s="78" t="str">
        <f t="shared" si="21"/>
      </c>
      <c r="AA79" s="79" t="str">
        <f t="shared" si="22"/>
      </c>
      <c r="AB79" s="80" t="str">
        <f t="shared" si="23"/>
      </c>
      <c r="AC79" s="81" t="str">
        <f t="array" ref="AC79">IF(AB79="","",IFERROR(INDEX(HELPER!$D$8:$D$48,IF(AB79&gt;=HELPER!$B$8,1,MATCH(AB79,HELPER!$B$8:$B$48,-1)+1)),""))</f>
      </c>
      <c r="AD79" s="82" t="str">
        <f>IF(AC79="","",IFERROR(VLOOKUP(AC79,HELPER!$F$8:$G$48,2,FALSE),""))</f>
      </c>
      <c r="AE79" s="3"/>
      <c r="AF79" s="4"/>
    </row>
    <row r="80" spans="1:32" ht="15" customHeight="1" x14ac:dyDescent="0.15">
      <c r="A80" s="3"/>
      <c r="B80" s="125">
        <v>12</v>
      </c>
      <c r="C80" s="181" t="str">
        <f>IF('INPUT DATA'!N22="","",'INPUT DATA'!N22)</f>
      </c>
      <c r="D80" s="182"/>
      <c r="E80" s="183"/>
      <c r="F80" s="70"/>
      <c r="G80" s="71"/>
      <c r="H80" s="71"/>
      <c r="I80" s="71"/>
      <c r="J80" s="72"/>
      <c r="K80" s="73" t="str">
        <f t="shared" si="12"/>
      </c>
      <c r="L80" s="74" t="str">
        <f t="shared" si="13"/>
      </c>
      <c r="M80" s="75" t="str">
        <f t="shared" si="14"/>
      </c>
      <c r="N80" s="70"/>
      <c r="O80" s="71"/>
      <c r="P80" s="72"/>
      <c r="Q80" s="73" t="str">
        <f t="shared" si="15"/>
      </c>
      <c r="R80" s="74" t="str">
        <f t="shared" si="16"/>
      </c>
      <c r="S80" s="75" t="str">
        <f t="shared" si="17"/>
      </c>
      <c r="T80" s="70"/>
      <c r="U80" s="71"/>
      <c r="V80" s="72"/>
      <c r="W80" s="77" t="str">
        <f t="shared" si="18"/>
      </c>
      <c r="X80" s="74" t="str">
        <f t="shared" si="19"/>
      </c>
      <c r="Y80" s="75" t="str">
        <f t="shared" si="20"/>
      </c>
      <c r="Z80" s="78" t="str">
        <f t="shared" si="21"/>
      </c>
      <c r="AA80" s="79" t="str">
        <f t="shared" si="22"/>
      </c>
      <c r="AB80" s="80" t="str">
        <f t="shared" si="23"/>
      </c>
      <c r="AC80" s="81" t="str">
        <f t="array" ref="AC80">IF(AB80="","",IFERROR(INDEX(HELPER!$D$8:$D$48,IF(AB80&gt;=HELPER!$B$8,1,MATCH(AB80,HELPER!$B$8:$B$48,-1)+1)),""))</f>
      </c>
      <c r="AD80" s="82" t="str">
        <f>IF(AC80="","",IFERROR(VLOOKUP(AC80,HELPER!$F$8:$G$48,2,FALSE),""))</f>
      </c>
      <c r="AE80" s="3"/>
      <c r="AF80" s="4"/>
    </row>
    <row r="81" spans="1:32" ht="15" customHeight="1" x14ac:dyDescent="0.15">
      <c r="A81" s="3"/>
      <c r="B81" s="125">
        <v>13</v>
      </c>
      <c r="C81" s="181" t="str">
        <f>IF('INPUT DATA'!N23="","",'INPUT DATA'!N23)</f>
      </c>
      <c r="D81" s="182"/>
      <c r="E81" s="183"/>
      <c r="F81" s="70"/>
      <c r="G81" s="71"/>
      <c r="H81" s="71"/>
      <c r="I81" s="71"/>
      <c r="J81" s="72"/>
      <c r="K81" s="73" t="str">
        <f t="shared" si="12"/>
      </c>
      <c r="L81" s="74" t="str">
        <f t="shared" si="13"/>
      </c>
      <c r="M81" s="75" t="str">
        <f t="shared" si="14"/>
      </c>
      <c r="N81" s="70"/>
      <c r="O81" s="71"/>
      <c r="P81" s="72"/>
      <c r="Q81" s="73" t="str">
        <f t="shared" si="15"/>
      </c>
      <c r="R81" s="74" t="str">
        <f t="shared" si="16"/>
      </c>
      <c r="S81" s="75" t="str">
        <f t="shared" si="17"/>
      </c>
      <c r="T81" s="70"/>
      <c r="U81" s="71"/>
      <c r="V81" s="72"/>
      <c r="W81" s="77" t="str">
        <f t="shared" si="18"/>
      </c>
      <c r="X81" s="74" t="str">
        <f t="shared" si="19"/>
      </c>
      <c r="Y81" s="75" t="str">
        <f t="shared" si="20"/>
      </c>
      <c r="Z81" s="78" t="str">
        <f t="shared" si="21"/>
      </c>
      <c r="AA81" s="79" t="str">
        <f t="shared" si="22"/>
      </c>
      <c r="AB81" s="80" t="str">
        <f t="shared" si="23"/>
      </c>
      <c r="AC81" s="81" t="str">
        <f t="array" ref="AC81">IF(AB81="","",IFERROR(INDEX(HELPER!$D$8:$D$48,IF(AB81&gt;=HELPER!$B$8,1,MATCH(AB81,HELPER!$B$8:$B$48,-1)+1)),""))</f>
      </c>
      <c r="AD81" s="82" t="str">
        <f>IF(AC81="","",IFERROR(VLOOKUP(AC81,HELPER!$F$8:$G$48,2,FALSE),""))</f>
      </c>
      <c r="AE81" s="3"/>
      <c r="AF81" s="4"/>
    </row>
    <row r="82" spans="1:32" ht="15" customHeight="1" x14ac:dyDescent="0.15">
      <c r="A82" s="3"/>
      <c r="B82" s="125">
        <v>14</v>
      </c>
      <c r="C82" s="181" t="str">
        <f>IF('INPUT DATA'!N24="","",'INPUT DATA'!N24)</f>
      </c>
      <c r="D82" s="182"/>
      <c r="E82" s="183"/>
      <c r="F82" s="70"/>
      <c r="G82" s="71"/>
      <c r="H82" s="71"/>
      <c r="I82" s="71"/>
      <c r="J82" s="72"/>
      <c r="K82" s="73" t="str">
        <f t="shared" si="12"/>
      </c>
      <c r="L82" s="74" t="str">
        <f t="shared" si="13"/>
      </c>
      <c r="M82" s="75" t="str">
        <f t="shared" si="14"/>
      </c>
      <c r="N82" s="70"/>
      <c r="O82" s="71"/>
      <c r="P82" s="72"/>
      <c r="Q82" s="73" t="str">
        <f t="shared" si="15"/>
      </c>
      <c r="R82" s="74" t="str">
        <f t="shared" si="16"/>
      </c>
      <c r="S82" s="75" t="str">
        <f t="shared" si="17"/>
      </c>
      <c r="T82" s="70"/>
      <c r="U82" s="71"/>
      <c r="V82" s="72"/>
      <c r="W82" s="77" t="str">
        <f t="shared" si="18"/>
      </c>
      <c r="X82" s="74" t="str">
        <f t="shared" si="19"/>
      </c>
      <c r="Y82" s="75" t="str">
        <f t="shared" si="20"/>
      </c>
      <c r="Z82" s="78" t="str">
        <f t="shared" si="21"/>
      </c>
      <c r="AA82" s="79" t="str">
        <f t="shared" si="22"/>
      </c>
      <c r="AB82" s="80" t="str">
        <f t="shared" si="23"/>
      </c>
      <c r="AC82" s="81" t="str">
        <f t="array" ref="AC82">IF(AB82="","",IFERROR(INDEX(HELPER!$D$8:$D$48,IF(AB82&gt;=HELPER!$B$8,1,MATCH(AB82,HELPER!$B$8:$B$48,-1)+1)),""))</f>
      </c>
      <c r="AD82" s="82" t="str">
        <f>IF(AC82="","",IFERROR(VLOOKUP(AC82,HELPER!$F$8:$G$48,2,FALSE),""))</f>
      </c>
      <c r="AE82" s="3"/>
      <c r="AF82" s="4"/>
    </row>
    <row r="83" spans="1:32" ht="15" customHeight="1" x14ac:dyDescent="0.15">
      <c r="A83" s="3"/>
      <c r="B83" s="125">
        <v>15</v>
      </c>
      <c r="C83" s="181" t="str">
        <f>IF('INPUT DATA'!N25="","",'INPUT DATA'!N25)</f>
      </c>
      <c r="D83" s="182"/>
      <c r="E83" s="183"/>
      <c r="F83" s="70"/>
      <c r="G83" s="71"/>
      <c r="H83" s="71"/>
      <c r="I83" s="71"/>
      <c r="J83" s="72"/>
      <c r="K83" s="73" t="str">
        <f t="shared" si="12"/>
      </c>
      <c r="L83" s="74" t="str">
        <f t="shared" si="13"/>
      </c>
      <c r="M83" s="75" t="str">
        <f t="shared" si="14"/>
      </c>
      <c r="N83" s="70"/>
      <c r="O83" s="71"/>
      <c r="P83" s="72"/>
      <c r="Q83" s="73" t="str">
        <f t="shared" si="15"/>
      </c>
      <c r="R83" s="74" t="str">
        <f t="shared" si="16"/>
      </c>
      <c r="S83" s="75" t="str">
        <f t="shared" si="17"/>
      </c>
      <c r="T83" s="70"/>
      <c r="U83" s="71"/>
      <c r="V83" s="72"/>
      <c r="W83" s="77" t="str">
        <f t="shared" si="18"/>
      </c>
      <c r="X83" s="74" t="str">
        <f t="shared" si="19"/>
      </c>
      <c r="Y83" s="75" t="str">
        <f t="shared" si="20"/>
      </c>
      <c r="Z83" s="78" t="str">
        <f t="shared" si="21"/>
      </c>
      <c r="AA83" s="79" t="str">
        <f t="shared" si="22"/>
      </c>
      <c r="AB83" s="80" t="str">
        <f t="shared" si="23"/>
      </c>
      <c r="AC83" s="81" t="str">
        <f t="array" ref="AC83">IF(AB83="","",IFERROR(INDEX(HELPER!$D$8:$D$48,IF(AB83&gt;=HELPER!$B$8,1,MATCH(AB83,HELPER!$B$8:$B$48,-1)+1)),""))</f>
      </c>
      <c r="AD83" s="82" t="str">
        <f>IF(AC83="","",IFERROR(VLOOKUP(AC83,HELPER!$F$8:$G$48,2,FALSE),""))</f>
      </c>
      <c r="AE83" s="3"/>
      <c r="AF83" s="4"/>
    </row>
    <row r="84" spans="1:32" ht="15" customHeight="1" x14ac:dyDescent="0.15">
      <c r="A84" s="3"/>
      <c r="B84" s="125">
        <v>16</v>
      </c>
      <c r="C84" s="181" t="str">
        <f>IF('INPUT DATA'!N26="","",'INPUT DATA'!N26)</f>
      </c>
      <c r="D84" s="182"/>
      <c r="E84" s="183"/>
      <c r="F84" s="70"/>
      <c r="G84" s="71"/>
      <c r="H84" s="71"/>
      <c r="I84" s="71"/>
      <c r="J84" s="72"/>
      <c r="K84" s="73" t="str">
        <f t="shared" si="12"/>
      </c>
      <c r="L84" s="74" t="str">
        <f t="shared" si="13"/>
      </c>
      <c r="M84" s="75" t="str">
        <f t="shared" si="14"/>
      </c>
      <c r="N84" s="70"/>
      <c r="O84" s="71"/>
      <c r="P84" s="72"/>
      <c r="Q84" s="73" t="str">
        <f t="shared" si="15"/>
      </c>
      <c r="R84" s="74" t="str">
        <f t="shared" si="16"/>
      </c>
      <c r="S84" s="75" t="str">
        <f t="shared" si="17"/>
      </c>
      <c r="T84" s="70"/>
      <c r="U84" s="71"/>
      <c r="V84" s="72"/>
      <c r="W84" s="77" t="str">
        <f t="shared" si="18"/>
      </c>
      <c r="X84" s="74" t="str">
        <f t="shared" si="19"/>
      </c>
      <c r="Y84" s="75" t="str">
        <f t="shared" si="20"/>
      </c>
      <c r="Z84" s="78" t="str">
        <f t="shared" si="21"/>
      </c>
      <c r="AA84" s="79" t="str">
        <f t="shared" si="22"/>
      </c>
      <c r="AB84" s="80" t="str">
        <f t="shared" si="23"/>
      </c>
      <c r="AC84" s="81" t="str">
        <f t="array" ref="AC84">IF(AB84="","",IFERROR(INDEX(HELPER!$D$8:$D$48,IF(AB84&gt;=HELPER!$B$8,1,MATCH(AB84,HELPER!$B$8:$B$48,-1)+1)),""))</f>
      </c>
      <c r="AD84" s="82" t="str">
        <f>IF(AC84="","",IFERROR(VLOOKUP(AC84,HELPER!$F$8:$G$48,2,FALSE),""))</f>
      </c>
      <c r="AE84" s="3"/>
      <c r="AF84" s="4"/>
    </row>
    <row r="85" spans="1:32" ht="15" customHeight="1" x14ac:dyDescent="0.15">
      <c r="A85" s="3"/>
      <c r="B85" s="125">
        <v>17</v>
      </c>
      <c r="C85" s="181" t="str">
        <f>IF('INPUT DATA'!N27="","",'INPUT DATA'!N27)</f>
      </c>
      <c r="D85" s="182"/>
      <c r="E85" s="183"/>
      <c r="F85" s="70"/>
      <c r="G85" s="71"/>
      <c r="H85" s="71"/>
      <c r="I85" s="71"/>
      <c r="J85" s="72"/>
      <c r="K85" s="73" t="str">
        <f t="shared" si="12"/>
      </c>
      <c r="L85" s="74" t="str">
        <f t="shared" si="13"/>
      </c>
      <c r="M85" s="75" t="str">
        <f t="shared" si="14"/>
      </c>
      <c r="N85" s="70"/>
      <c r="O85" s="71"/>
      <c r="P85" s="72"/>
      <c r="Q85" s="73" t="str">
        <f t="shared" si="15"/>
      </c>
      <c r="R85" s="74" t="str">
        <f t="shared" si="16"/>
      </c>
      <c r="S85" s="75" t="str">
        <f t="shared" si="17"/>
      </c>
      <c r="T85" s="70"/>
      <c r="U85" s="71"/>
      <c r="V85" s="72"/>
      <c r="W85" s="77" t="str">
        <f t="shared" si="18"/>
      </c>
      <c r="X85" s="74" t="str">
        <f t="shared" si="19"/>
      </c>
      <c r="Y85" s="75" t="str">
        <f t="shared" si="20"/>
      </c>
      <c r="Z85" s="78" t="str">
        <f t="shared" si="21"/>
      </c>
      <c r="AA85" s="79" t="str">
        <f t="shared" si="22"/>
      </c>
      <c r="AB85" s="80" t="str">
        <f t="shared" si="23"/>
      </c>
      <c r="AC85" s="81" t="str">
        <f t="array" ref="AC85">IF(AB85="","",IFERROR(INDEX(HELPER!$D$8:$D$48,IF(AB85&gt;=HELPER!$B$8,1,MATCH(AB85,HELPER!$B$8:$B$48,-1)+1)),""))</f>
      </c>
      <c r="AD85" s="82" t="str">
        <f>IF(AC85="","",IFERROR(VLOOKUP(AC85,HELPER!$F$8:$G$48,2,FALSE),""))</f>
      </c>
      <c r="AE85" s="3"/>
      <c r="AF85" s="4"/>
    </row>
    <row r="86" spans="1:32" ht="15" customHeight="1" x14ac:dyDescent="0.15">
      <c r="A86" s="3"/>
      <c r="B86" s="125">
        <v>18</v>
      </c>
      <c r="C86" s="181" t="str">
        <f>IF('INPUT DATA'!N28="","",'INPUT DATA'!N28)</f>
      </c>
      <c r="D86" s="182"/>
      <c r="E86" s="183"/>
      <c r="F86" s="70"/>
      <c r="G86" s="71"/>
      <c r="H86" s="71"/>
      <c r="I86" s="71"/>
      <c r="J86" s="72"/>
      <c r="K86" s="73" t="str">
        <f t="shared" si="12"/>
      </c>
      <c r="L86" s="74" t="str">
        <f t="shared" si="13"/>
      </c>
      <c r="M86" s="75" t="str">
        <f t="shared" si="14"/>
      </c>
      <c r="N86" s="70"/>
      <c r="O86" s="71"/>
      <c r="P86" s="72"/>
      <c r="Q86" s="73" t="str">
        <f t="shared" si="15"/>
      </c>
      <c r="R86" s="74" t="str">
        <f t="shared" si="16"/>
      </c>
      <c r="S86" s="75" t="str">
        <f t="shared" si="17"/>
      </c>
      <c r="T86" s="70"/>
      <c r="U86" s="71"/>
      <c r="V86" s="72"/>
      <c r="W86" s="77" t="str">
        <f t="shared" si="18"/>
      </c>
      <c r="X86" s="74" t="str">
        <f t="shared" si="19"/>
      </c>
      <c r="Y86" s="75" t="str">
        <f t="shared" si="20"/>
      </c>
      <c r="Z86" s="78" t="str">
        <f t="shared" si="21"/>
      </c>
      <c r="AA86" s="79" t="str">
        <f t="shared" si="22"/>
      </c>
      <c r="AB86" s="80" t="str">
        <f t="shared" si="23"/>
      </c>
      <c r="AC86" s="81" t="str">
        <f t="array" ref="AC86">IF(AB86="","",IFERROR(INDEX(HELPER!$D$8:$D$48,IF(AB86&gt;=HELPER!$B$8,1,MATCH(AB86,HELPER!$B$8:$B$48,-1)+1)),""))</f>
      </c>
      <c r="AD86" s="82" t="str">
        <f>IF(AC86="","",IFERROR(VLOOKUP(AC86,HELPER!$F$8:$G$48,2,FALSE),""))</f>
      </c>
      <c r="AE86" s="3"/>
      <c r="AF86" s="4"/>
    </row>
    <row r="87" spans="1:32" ht="15" customHeight="1" x14ac:dyDescent="0.15">
      <c r="A87" s="3"/>
      <c r="B87" s="125">
        <v>19</v>
      </c>
      <c r="C87" s="181" t="str">
        <f>IF('INPUT DATA'!N29="","",'INPUT DATA'!N29)</f>
      </c>
      <c r="D87" s="182"/>
      <c r="E87" s="183"/>
      <c r="F87" s="70"/>
      <c r="G87" s="71"/>
      <c r="H87" s="71"/>
      <c r="I87" s="71"/>
      <c r="J87" s="72"/>
      <c r="K87" s="73" t="str">
        <f t="shared" si="12"/>
      </c>
      <c r="L87" s="74" t="str">
        <f t="shared" si="13"/>
      </c>
      <c r="M87" s="75" t="str">
        <f t="shared" si="14"/>
      </c>
      <c r="N87" s="70"/>
      <c r="O87" s="71"/>
      <c r="P87" s="72"/>
      <c r="Q87" s="73" t="str">
        <f t="shared" si="15"/>
      </c>
      <c r="R87" s="74" t="str">
        <f t="shared" si="16"/>
      </c>
      <c r="S87" s="75" t="str">
        <f t="shared" si="17"/>
      </c>
      <c r="T87" s="70"/>
      <c r="U87" s="71"/>
      <c r="V87" s="72"/>
      <c r="W87" s="77" t="str">
        <f t="shared" si="18"/>
      </c>
      <c r="X87" s="74" t="str">
        <f t="shared" si="19"/>
      </c>
      <c r="Y87" s="75" t="str">
        <f t="shared" si="20"/>
      </c>
      <c r="Z87" s="78" t="str">
        <f t="shared" si="21"/>
      </c>
      <c r="AA87" s="79" t="str">
        <f t="shared" si="22"/>
      </c>
      <c r="AB87" s="80" t="str">
        <f t="shared" si="23"/>
      </c>
      <c r="AC87" s="81" t="str">
        <f t="array" ref="AC87">IF(AB87="","",IFERROR(INDEX(HELPER!$D$8:$D$48,IF(AB87&gt;=HELPER!$B$8,1,MATCH(AB87,HELPER!$B$8:$B$48,-1)+1)),""))</f>
      </c>
      <c r="AD87" s="82" t="str">
        <f>IF(AC87="","",IFERROR(VLOOKUP(AC87,HELPER!$F$8:$G$48,2,FALSE),""))</f>
      </c>
      <c r="AE87" s="3"/>
      <c r="AF87" s="4"/>
    </row>
    <row r="88" spans="1:32" ht="15" customHeight="1" x14ac:dyDescent="0.15">
      <c r="A88" s="3"/>
      <c r="B88" s="132">
        <v>20</v>
      </c>
      <c r="C88" s="181" t="str">
        <f>IF('INPUT DATA'!N30="","",'INPUT DATA'!N30)</f>
      </c>
      <c r="D88" s="182"/>
      <c r="E88" s="183"/>
      <c r="F88" s="70"/>
      <c r="G88" s="71"/>
      <c r="H88" s="71"/>
      <c r="I88" s="71"/>
      <c r="J88" s="72"/>
      <c r="K88" s="73" t="str">
        <f t="shared" si="12"/>
      </c>
      <c r="L88" s="74" t="str">
        <f t="shared" si="13"/>
      </c>
      <c r="M88" s="75" t="str">
        <f t="shared" si="14"/>
      </c>
      <c r="N88" s="70"/>
      <c r="O88" s="71"/>
      <c r="P88" s="72"/>
      <c r="Q88" s="73" t="str">
        <f t="shared" si="15"/>
      </c>
      <c r="R88" s="74" t="str">
        <f t="shared" si="16"/>
      </c>
      <c r="S88" s="75" t="str">
        <f t="shared" si="17"/>
      </c>
      <c r="T88" s="70"/>
      <c r="U88" s="71"/>
      <c r="V88" s="72"/>
      <c r="W88" s="77" t="str">
        <f t="shared" si="18"/>
      </c>
      <c r="X88" s="74" t="str">
        <f t="shared" si="19"/>
      </c>
      <c r="Y88" s="75" t="str">
        <f t="shared" si="20"/>
      </c>
      <c r="Z88" s="78" t="str">
        <f t="shared" si="21"/>
      </c>
      <c r="AA88" s="79" t="str">
        <f t="shared" si="22"/>
      </c>
      <c r="AB88" s="80" t="str">
        <f t="shared" si="23"/>
      </c>
      <c r="AC88" s="81" t="str">
        <f t="array" ref="AC88">IF(AB88="","",IFERROR(INDEX(HELPER!$D$8:$D$48,IF(AB88&gt;=HELPER!$B$8,1,MATCH(AB88,HELPER!$B$8:$B$48,-1)+1)),""))</f>
      </c>
      <c r="AD88" s="82" t="str">
        <f>IF(AC88="","",IFERROR(VLOOKUP(AC88,HELPER!$F$8:$G$48,2,FALSE),""))</f>
      </c>
      <c r="AE88" s="3"/>
      <c r="AF88" s="4"/>
    </row>
    <row r="89" spans="1:32" ht="15" customHeight="1" x14ac:dyDescent="0.15">
      <c r="A89" s="3"/>
      <c r="B89" s="132">
        <v>21</v>
      </c>
      <c r="C89" s="181" t="str">
        <f>IF('INPUT DATA'!N31="","",'INPUT DATA'!N31)</f>
      </c>
      <c r="D89" s="182"/>
      <c r="E89" s="183"/>
      <c r="F89" s="70"/>
      <c r="G89" s="71"/>
      <c r="H89" s="71"/>
      <c r="I89" s="71"/>
      <c r="J89" s="72"/>
      <c r="K89" s="73" t="str">
        <f t="shared" si="12"/>
      </c>
      <c r="L89" s="74" t="str">
        <f t="shared" si="13"/>
      </c>
      <c r="M89" s="75" t="str">
        <f t="shared" si="14"/>
      </c>
      <c r="N89" s="70"/>
      <c r="O89" s="71"/>
      <c r="P89" s="72"/>
      <c r="Q89" s="73" t="str">
        <f t="shared" si="15"/>
      </c>
      <c r="R89" s="74" t="str">
        <f t="shared" si="16"/>
      </c>
      <c r="S89" s="75" t="str">
        <f t="shared" si="17"/>
      </c>
      <c r="T89" s="70"/>
      <c r="U89" s="71"/>
      <c r="V89" s="72"/>
      <c r="W89" s="77" t="str">
        <f t="shared" si="18"/>
      </c>
      <c r="X89" s="74" t="str">
        <f t="shared" si="19"/>
      </c>
      <c r="Y89" s="75" t="str">
        <f t="shared" si="20"/>
      </c>
      <c r="Z89" s="78" t="str">
        <f t="shared" si="21"/>
      </c>
      <c r="AA89" s="79" t="str">
        <f t="shared" si="22"/>
      </c>
      <c r="AB89" s="80" t="str">
        <f t="shared" si="23"/>
      </c>
      <c r="AC89" s="81" t="str">
        <f t="array" ref="AC89">IF(AB89="","",IFERROR(INDEX(HELPER!$D$8:$D$48,IF(AB89&gt;=HELPER!$B$8,1,MATCH(AB89,HELPER!$B$8:$B$48,-1)+1)),""))</f>
      </c>
      <c r="AD89" s="82" t="str">
        <f>IF(AC89="","",IFERROR(VLOOKUP(AC89,HELPER!$F$8:$G$48,2,FALSE),""))</f>
      </c>
      <c r="AE89" s="3"/>
      <c r="AF89" s="4"/>
    </row>
    <row r="90" spans="1:32" ht="15" customHeight="1" x14ac:dyDescent="0.15">
      <c r="A90" s="3"/>
      <c r="B90" s="132">
        <v>22</v>
      </c>
      <c r="C90" s="181" t="str">
        <f>IF('INPUT DATA'!N32="","",'INPUT DATA'!N32)</f>
      </c>
      <c r="D90" s="182"/>
      <c r="E90" s="183"/>
      <c r="F90" s="70"/>
      <c r="G90" s="71"/>
      <c r="H90" s="71"/>
      <c r="I90" s="71"/>
      <c r="J90" s="72"/>
      <c r="K90" s="73" t="str">
        <f t="shared" si="12"/>
      </c>
      <c r="L90" s="74" t="str">
        <f t="shared" si="13"/>
      </c>
      <c r="M90" s="75" t="str">
        <f t="shared" si="14"/>
      </c>
      <c r="N90" s="70"/>
      <c r="O90" s="71"/>
      <c r="P90" s="72"/>
      <c r="Q90" s="73" t="str">
        <f t="shared" si="15"/>
      </c>
      <c r="R90" s="74" t="str">
        <f t="shared" si="16"/>
      </c>
      <c r="S90" s="75" t="str">
        <f t="shared" si="17"/>
      </c>
      <c r="T90" s="70"/>
      <c r="U90" s="71"/>
      <c r="V90" s="72"/>
      <c r="W90" s="77" t="str">
        <f t="shared" si="18"/>
      </c>
      <c r="X90" s="74" t="str">
        <f t="shared" si="19"/>
      </c>
      <c r="Y90" s="75" t="str">
        <f t="shared" si="20"/>
      </c>
      <c r="Z90" s="78" t="str">
        <f t="shared" si="21"/>
      </c>
      <c r="AA90" s="79" t="str">
        <f t="shared" si="22"/>
      </c>
      <c r="AB90" s="80" t="str">
        <f t="shared" si="23"/>
      </c>
      <c r="AC90" s="81" t="str">
        <f t="array" ref="AC90">IF(AB90="","",IFERROR(INDEX(HELPER!$D$8:$D$48,IF(AB90&gt;=HELPER!$B$8,1,MATCH(AB90,HELPER!$B$8:$B$48,-1)+1)),""))</f>
      </c>
      <c r="AD90" s="82" t="str">
        <f>IF(AC90="","",IFERROR(VLOOKUP(AC90,HELPER!$F$8:$G$48,2,FALSE),""))</f>
      </c>
      <c r="AE90" s="3"/>
      <c r="AF90" s="4"/>
    </row>
    <row r="91" spans="1:32" ht="15" customHeight="1" x14ac:dyDescent="0.15">
      <c r="A91" s="3"/>
      <c r="B91" s="132">
        <v>23</v>
      </c>
      <c r="C91" s="181" t="str">
        <f>IF('INPUT DATA'!N33="","",'INPUT DATA'!N33)</f>
      </c>
      <c r="D91" s="182"/>
      <c r="E91" s="183"/>
      <c r="F91" s="70"/>
      <c r="G91" s="71"/>
      <c r="H91" s="71"/>
      <c r="I91" s="71"/>
      <c r="J91" s="72"/>
      <c r="K91" s="73" t="str">
        <f t="shared" si="12"/>
      </c>
      <c r="L91" s="74" t="str">
        <f t="shared" si="13"/>
      </c>
      <c r="M91" s="75" t="str">
        <f t="shared" si="14"/>
      </c>
      <c r="N91" s="70"/>
      <c r="O91" s="71"/>
      <c r="P91" s="72"/>
      <c r="Q91" s="73" t="str">
        <f t="shared" si="15"/>
      </c>
      <c r="R91" s="74" t="str">
        <f t="shared" si="16"/>
      </c>
      <c r="S91" s="75" t="str">
        <f t="shared" si="17"/>
      </c>
      <c r="T91" s="70"/>
      <c r="U91" s="71"/>
      <c r="V91" s="72"/>
      <c r="W91" s="77" t="str">
        <f t="shared" si="18"/>
      </c>
      <c r="X91" s="74" t="str">
        <f t="shared" si="19"/>
      </c>
      <c r="Y91" s="75" t="str">
        <f t="shared" si="20"/>
      </c>
      <c r="Z91" s="78" t="str">
        <f t="shared" si="21"/>
      </c>
      <c r="AA91" s="79" t="str">
        <f t="shared" si="22"/>
      </c>
      <c r="AB91" s="80" t="str">
        <f t="shared" si="23"/>
      </c>
      <c r="AC91" s="81" t="str">
        <f t="array" ref="AC91">IF(AB91="","",IFERROR(INDEX(HELPER!$D$8:$D$48,IF(AB91&gt;=HELPER!$B$8,1,MATCH(AB91,HELPER!$B$8:$B$48,-1)+1)),""))</f>
      </c>
      <c r="AD91" s="82" t="str">
        <f>IF(AC91="","",IFERROR(VLOOKUP(AC91,HELPER!$F$8:$G$48,2,FALSE),""))</f>
      </c>
      <c r="AE91" s="3"/>
      <c r="AF91" s="4"/>
    </row>
    <row r="92" spans="1:32" ht="15" customHeight="1" x14ac:dyDescent="0.15">
      <c r="A92" s="3"/>
      <c r="B92" s="132">
        <v>24</v>
      </c>
      <c r="C92" s="181" t="str">
        <f>IF('INPUT DATA'!N34="","",'INPUT DATA'!N34)</f>
      </c>
      <c r="D92" s="182"/>
      <c r="E92" s="183"/>
      <c r="F92" s="70"/>
      <c r="G92" s="71"/>
      <c r="H92" s="71"/>
      <c r="I92" s="71"/>
      <c r="J92" s="72"/>
      <c r="K92" s="73" t="str">
        <f t="shared" si="12"/>
      </c>
      <c r="L92" s="74" t="str">
        <f t="shared" si="13"/>
      </c>
      <c r="M92" s="75" t="str">
        <f t="shared" si="14"/>
      </c>
      <c r="N92" s="70"/>
      <c r="O92" s="71"/>
      <c r="P92" s="72"/>
      <c r="Q92" s="73" t="str">
        <f t="shared" si="15"/>
      </c>
      <c r="R92" s="74" t="str">
        <f t="shared" si="16"/>
      </c>
      <c r="S92" s="75" t="str">
        <f t="shared" si="17"/>
      </c>
      <c r="T92" s="70"/>
      <c r="U92" s="71"/>
      <c r="V92" s="72"/>
      <c r="W92" s="77" t="str">
        <f t="shared" si="18"/>
      </c>
      <c r="X92" s="74" t="str">
        <f t="shared" si="19"/>
      </c>
      <c r="Y92" s="75" t="str">
        <f t="shared" si="20"/>
      </c>
      <c r="Z92" s="78" t="str">
        <f t="shared" si="21"/>
      </c>
      <c r="AA92" s="79" t="str">
        <f t="shared" si="22"/>
      </c>
      <c r="AB92" s="80" t="str">
        <f t="shared" si="23"/>
      </c>
      <c r="AC92" s="81" t="str">
        <f t="array" ref="AC92">IF(AB92="","",IFERROR(INDEX(HELPER!$D$8:$D$48,IF(AB92&gt;=HELPER!$B$8,1,MATCH(AB92,HELPER!$B$8:$B$48,-1)+1)),""))</f>
      </c>
      <c r="AD92" s="82" t="str">
        <f>IF(AC92="","",IFERROR(VLOOKUP(AC92,HELPER!$F$8:$G$48,2,FALSE),""))</f>
      </c>
      <c r="AE92" s="3"/>
      <c r="AF92" s="4"/>
    </row>
    <row r="93" spans="1:32" ht="15" customHeight="1" x14ac:dyDescent="0.15">
      <c r="A93" s="3"/>
      <c r="B93" s="132">
        <v>25</v>
      </c>
      <c r="C93" s="181" t="str">
        <f>IF('INPUT DATA'!N35="","",'INPUT DATA'!N35)</f>
      </c>
      <c r="D93" s="182"/>
      <c r="E93" s="183"/>
      <c r="F93" s="70"/>
      <c r="G93" s="71"/>
      <c r="H93" s="71"/>
      <c r="I93" s="71"/>
      <c r="J93" s="72"/>
      <c r="K93" s="73" t="str">
        <f t="shared" si="12"/>
      </c>
      <c r="L93" s="74" t="str">
        <f t="shared" si="13"/>
      </c>
      <c r="M93" s="75" t="str">
        <f t="shared" si="14"/>
      </c>
      <c r="N93" s="70"/>
      <c r="O93" s="71"/>
      <c r="P93" s="72"/>
      <c r="Q93" s="73" t="str">
        <f t="shared" si="15"/>
      </c>
      <c r="R93" s="74" t="str">
        <f t="shared" si="16"/>
      </c>
      <c r="S93" s="75" t="str">
        <f t="shared" si="17"/>
      </c>
      <c r="T93" s="70"/>
      <c r="U93" s="71"/>
      <c r="V93" s="72"/>
      <c r="W93" s="77" t="str">
        <f t="shared" si="18"/>
      </c>
      <c r="X93" s="74" t="str">
        <f t="shared" si="19"/>
      </c>
      <c r="Y93" s="75" t="str">
        <f t="shared" si="20"/>
      </c>
      <c r="Z93" s="78" t="str">
        <f t="shared" si="21"/>
      </c>
      <c r="AA93" s="79" t="str">
        <f t="shared" si="22"/>
      </c>
      <c r="AB93" s="80" t="str">
        <f t="shared" si="23"/>
      </c>
      <c r="AC93" s="81" t="str">
        <f t="array" ref="AC93">IF(AB93="","",IFERROR(INDEX(HELPER!$D$8:$D$48,IF(AB93&gt;=HELPER!$B$8,1,MATCH(AB93,HELPER!$B$8:$B$48,-1)+1)),""))</f>
      </c>
      <c r="AD93" s="82" t="str">
        <f>IF(AC93="","",IFERROR(VLOOKUP(AC93,HELPER!$F$8:$G$48,2,FALSE),""))</f>
      </c>
      <c r="AE93" s="3"/>
      <c r="AF93" s="4"/>
    </row>
    <row r="94" spans="1:32" ht="15" customHeight="1" x14ac:dyDescent="0.15">
      <c r="A94" s="3"/>
      <c r="B94" s="132">
        <v>26</v>
      </c>
      <c r="C94" s="181" t="str">
        <f>IF('INPUT DATA'!N36="","",'INPUT DATA'!N36)</f>
      </c>
      <c r="D94" s="182"/>
      <c r="E94" s="183"/>
      <c r="F94" s="70"/>
      <c r="G94" s="71"/>
      <c r="H94" s="71"/>
      <c r="I94" s="71"/>
      <c r="J94" s="72"/>
      <c r="K94" s="73" t="str">
        <f t="shared" si="12"/>
      </c>
      <c r="L94" s="74" t="str">
        <f t="shared" si="13"/>
      </c>
      <c r="M94" s="75" t="str">
        <f t="shared" si="14"/>
      </c>
      <c r="N94" s="70"/>
      <c r="O94" s="71"/>
      <c r="P94" s="72"/>
      <c r="Q94" s="73" t="str">
        <f t="shared" si="15"/>
      </c>
      <c r="R94" s="74" t="str">
        <f t="shared" si="16"/>
      </c>
      <c r="S94" s="75" t="str">
        <f t="shared" si="17"/>
      </c>
      <c r="T94" s="70"/>
      <c r="U94" s="71"/>
      <c r="V94" s="72"/>
      <c r="W94" s="77" t="str">
        <f t="shared" si="18"/>
      </c>
      <c r="X94" s="74" t="str">
        <f t="shared" si="19"/>
      </c>
      <c r="Y94" s="75" t="str">
        <f t="shared" si="20"/>
      </c>
      <c r="Z94" s="78" t="str">
        <f t="shared" si="21"/>
      </c>
      <c r="AA94" s="79" t="str">
        <f t="shared" si="22"/>
      </c>
      <c r="AB94" s="80" t="str">
        <f t="shared" si="23"/>
      </c>
      <c r="AC94" s="81" t="str">
        <f t="array" ref="AC94">IF(AB94="","",IFERROR(INDEX(HELPER!$D$8:$D$48,IF(AB94&gt;=HELPER!$B$8,1,MATCH(AB94,HELPER!$B$8:$B$48,-1)+1)),""))</f>
      </c>
      <c r="AD94" s="82" t="str">
        <f>IF(AC94="","",IFERROR(VLOOKUP(AC94,HELPER!$F$8:$G$48,2,FALSE),""))</f>
      </c>
      <c r="AE94" s="3"/>
      <c r="AF94" s="4"/>
    </row>
    <row r="95" spans="1:32" ht="15" customHeight="1" x14ac:dyDescent="0.15">
      <c r="A95" s="3"/>
      <c r="B95" s="132">
        <v>27</v>
      </c>
      <c r="C95" s="181" t="str">
        <f>IF('INPUT DATA'!N37="","",'INPUT DATA'!N37)</f>
      </c>
      <c r="D95" s="182"/>
      <c r="E95" s="183"/>
      <c r="F95" s="70"/>
      <c r="G95" s="71"/>
      <c r="H95" s="71"/>
      <c r="I95" s="71"/>
      <c r="J95" s="72"/>
      <c r="K95" s="73" t="str">
        <f t="shared" si="12"/>
      </c>
      <c r="L95" s="74" t="str">
        <f t="shared" si="13"/>
      </c>
      <c r="M95" s="75" t="str">
        <f t="shared" si="14"/>
      </c>
      <c r="N95" s="70"/>
      <c r="O95" s="71"/>
      <c r="P95" s="72"/>
      <c r="Q95" s="73" t="str">
        <f t="shared" si="15"/>
      </c>
      <c r="R95" s="74" t="str">
        <f t="shared" si="16"/>
      </c>
      <c r="S95" s="75" t="str">
        <f t="shared" si="17"/>
      </c>
      <c r="T95" s="70"/>
      <c r="U95" s="71"/>
      <c r="V95" s="72"/>
      <c r="W95" s="77" t="str">
        <f t="shared" si="18"/>
      </c>
      <c r="X95" s="74" t="str">
        <f t="shared" si="19"/>
      </c>
      <c r="Y95" s="75" t="str">
        <f t="shared" si="20"/>
      </c>
      <c r="Z95" s="78" t="str">
        <f t="shared" si="21"/>
      </c>
      <c r="AA95" s="79" t="str">
        <f t="shared" si="22"/>
      </c>
      <c r="AB95" s="80" t="str">
        <f t="shared" si="23"/>
      </c>
      <c r="AC95" s="81" t="str">
        <f t="array" ref="AC95">IF(AB95="","",IFERROR(INDEX(HELPER!$D$8:$D$48,IF(AB95&gt;=HELPER!$B$8,1,MATCH(AB95,HELPER!$B$8:$B$48,-1)+1)),""))</f>
      </c>
      <c r="AD95" s="82" t="str">
        <f>IF(AC95="","",IFERROR(VLOOKUP(AC95,HELPER!$F$8:$G$48,2,FALSE),""))</f>
      </c>
      <c r="AE95" s="3"/>
      <c r="AF95" s="4"/>
    </row>
    <row r="96" spans="1:32" ht="15" customHeight="1" x14ac:dyDescent="0.15">
      <c r="A96" s="3"/>
      <c r="B96" s="132">
        <v>28</v>
      </c>
      <c r="C96" s="181" t="str">
        <f>IF('INPUT DATA'!N38="","",'INPUT DATA'!N38)</f>
      </c>
      <c r="D96" s="182"/>
      <c r="E96" s="183"/>
      <c r="F96" s="70"/>
      <c r="G96" s="71"/>
      <c r="H96" s="71"/>
      <c r="I96" s="71"/>
      <c r="J96" s="72"/>
      <c r="K96" s="73" t="str">
        <f t="shared" si="12"/>
      </c>
      <c r="L96" s="74" t="str">
        <f t="shared" si="13"/>
      </c>
      <c r="M96" s="75" t="str">
        <f t="shared" si="14"/>
      </c>
      <c r="N96" s="70"/>
      <c r="O96" s="71"/>
      <c r="P96" s="72"/>
      <c r="Q96" s="73" t="str">
        <f t="shared" si="15"/>
      </c>
      <c r="R96" s="74" t="str">
        <f t="shared" si="16"/>
      </c>
      <c r="S96" s="75" t="str">
        <f t="shared" si="17"/>
      </c>
      <c r="T96" s="70"/>
      <c r="U96" s="71"/>
      <c r="V96" s="72"/>
      <c r="W96" s="77" t="str">
        <f t="shared" si="18"/>
      </c>
      <c r="X96" s="74" t="str">
        <f t="shared" si="19"/>
      </c>
      <c r="Y96" s="75" t="str">
        <f t="shared" si="20"/>
      </c>
      <c r="Z96" s="78" t="str">
        <f t="shared" si="21"/>
      </c>
      <c r="AA96" s="79" t="str">
        <f t="shared" si="22"/>
      </c>
      <c r="AB96" s="80" t="str">
        <f t="shared" si="23"/>
      </c>
      <c r="AC96" s="81" t="str">
        <f t="array" ref="AC96">IF(AB96="","",IFERROR(INDEX(HELPER!$D$8:$D$48,IF(AB96&gt;=HELPER!$B$8,1,MATCH(AB96,HELPER!$B$8:$B$48,-1)+1)),""))</f>
      </c>
      <c r="AD96" s="82" t="str">
        <f>IF(AC96="","",IFERROR(VLOOKUP(AC96,HELPER!$F$8:$G$48,2,FALSE),""))</f>
      </c>
      <c r="AE96" s="3"/>
      <c r="AF96" s="4"/>
    </row>
    <row r="97" spans="1:32" ht="15" customHeight="1" x14ac:dyDescent="0.15">
      <c r="A97" s="3"/>
      <c r="B97" s="132">
        <v>29</v>
      </c>
      <c r="C97" s="181" t="str">
        <f>IF('INPUT DATA'!N39="","",'INPUT DATA'!N39)</f>
      </c>
      <c r="D97" s="182"/>
      <c r="E97" s="183"/>
      <c r="F97" s="70"/>
      <c r="G97" s="71"/>
      <c r="H97" s="71"/>
      <c r="I97" s="71"/>
      <c r="J97" s="72"/>
      <c r="K97" s="73" t="str">
        <f t="shared" si="12"/>
      </c>
      <c r="L97" s="74" t="str">
        <f t="shared" si="13"/>
      </c>
      <c r="M97" s="75" t="str">
        <f t="shared" si="14"/>
      </c>
      <c r="N97" s="70"/>
      <c r="O97" s="71"/>
      <c r="P97" s="72"/>
      <c r="Q97" s="73" t="str">
        <f t="shared" si="15"/>
      </c>
      <c r="R97" s="74" t="str">
        <f t="shared" si="16"/>
      </c>
      <c r="S97" s="75" t="str">
        <f t="shared" si="17"/>
      </c>
      <c r="T97" s="70"/>
      <c r="U97" s="71"/>
      <c r="V97" s="72"/>
      <c r="W97" s="77" t="str">
        <f t="shared" si="18"/>
      </c>
      <c r="X97" s="74" t="str">
        <f t="shared" si="19"/>
      </c>
      <c r="Y97" s="75" t="str">
        <f t="shared" si="20"/>
      </c>
      <c r="Z97" s="78" t="str">
        <f t="shared" si="21"/>
      </c>
      <c r="AA97" s="79" t="str">
        <f t="shared" si="22"/>
      </c>
      <c r="AB97" s="80" t="str">
        <f t="shared" si="23"/>
      </c>
      <c r="AC97" s="81" t="str">
        <f t="array" ref="AC97">IF(AB97="","",IFERROR(INDEX(HELPER!$D$8:$D$48,IF(AB97&gt;=HELPER!$B$8,1,MATCH(AB97,HELPER!$B$8:$B$48,-1)+1)),""))</f>
      </c>
      <c r="AD97" s="82" t="str">
        <f>IF(AC97="","",IFERROR(VLOOKUP(AC97,HELPER!$F$8:$G$48,2,FALSE),""))</f>
      </c>
      <c r="AE97" s="3"/>
      <c r="AF97" s="4"/>
    </row>
    <row r="98" spans="1:32" ht="15" customHeight="1" x14ac:dyDescent="0.15">
      <c r="A98" s="3"/>
      <c r="B98" s="132">
        <v>30</v>
      </c>
      <c r="C98" s="181" t="str">
        <f>IF('INPUT DATA'!N40="","",'INPUT DATA'!N40)</f>
      </c>
      <c r="D98" s="182"/>
      <c r="E98" s="183"/>
      <c r="F98" s="70"/>
      <c r="G98" s="71"/>
      <c r="H98" s="71"/>
      <c r="I98" s="71"/>
      <c r="J98" s="72"/>
      <c r="K98" s="73" t="str">
        <f t="shared" si="12"/>
      </c>
      <c r="L98" s="74" t="str">
        <f t="shared" si="13"/>
      </c>
      <c r="M98" s="75" t="str">
        <f t="shared" si="14"/>
      </c>
      <c r="N98" s="70"/>
      <c r="O98" s="71"/>
      <c r="P98" s="72"/>
      <c r="Q98" s="73" t="str">
        <f t="shared" si="15"/>
      </c>
      <c r="R98" s="74" t="str">
        <f t="shared" si="16"/>
      </c>
      <c r="S98" s="75" t="str">
        <f t="shared" si="17"/>
      </c>
      <c r="T98" s="70"/>
      <c r="U98" s="71"/>
      <c r="V98" s="72"/>
      <c r="W98" s="77" t="str">
        <f t="shared" si="18"/>
      </c>
      <c r="X98" s="74" t="str">
        <f t="shared" si="19"/>
      </c>
      <c r="Y98" s="75" t="str">
        <f t="shared" si="20"/>
      </c>
      <c r="Z98" s="78" t="str">
        <f t="shared" si="21"/>
      </c>
      <c r="AA98" s="79" t="str">
        <f t="shared" si="22"/>
      </c>
      <c r="AB98" s="80" t="str">
        <f t="shared" si="23"/>
      </c>
      <c r="AC98" s="81" t="str">
        <f t="array" ref="AC98">IF(AB98="","",IFERROR(INDEX(HELPER!$D$8:$D$48,IF(AB98&gt;=HELPER!$B$8,1,MATCH(AB98,HELPER!$B$8:$B$48,-1)+1)),""))</f>
      </c>
      <c r="AD98" s="82" t="str">
        <f>IF(AC98="","",IFERROR(VLOOKUP(AC98,HELPER!$F$8:$G$48,2,FALSE),""))</f>
      </c>
      <c r="AE98" s="3"/>
      <c r="AF98" s="4"/>
    </row>
    <row r="99" spans="1:32" ht="15" customHeight="1" x14ac:dyDescent="0.15">
      <c r="A99" s="3"/>
      <c r="B99" s="132">
        <v>31</v>
      </c>
      <c r="C99" s="181" t="str">
        <f>IF('INPUT DATA'!N41="","",'INPUT DATA'!N41)</f>
      </c>
      <c r="D99" s="182"/>
      <c r="E99" s="183"/>
      <c r="F99" s="70"/>
      <c r="G99" s="71"/>
      <c r="H99" s="71"/>
      <c r="I99" s="71"/>
      <c r="J99" s="72"/>
      <c r="K99" s="73" t="str">
        <f t="shared" si="12"/>
      </c>
      <c r="L99" s="74" t="str">
        <f t="shared" si="13"/>
      </c>
      <c r="M99" s="75" t="str">
        <f t="shared" si="14"/>
      </c>
      <c r="N99" s="70"/>
      <c r="O99" s="71"/>
      <c r="P99" s="72"/>
      <c r="Q99" s="73" t="str">
        <f t="shared" si="15"/>
      </c>
      <c r="R99" s="74" t="str">
        <f t="shared" si="16"/>
      </c>
      <c r="S99" s="75" t="str">
        <f t="shared" si="17"/>
      </c>
      <c r="T99" s="70"/>
      <c r="U99" s="71"/>
      <c r="V99" s="72"/>
      <c r="W99" s="77" t="str">
        <f t="shared" si="18"/>
      </c>
      <c r="X99" s="74" t="str">
        <f t="shared" si="19"/>
      </c>
      <c r="Y99" s="75" t="str">
        <f t="shared" si="20"/>
      </c>
      <c r="Z99" s="78" t="str">
        <f t="shared" si="21"/>
      </c>
      <c r="AA99" s="79" t="str">
        <f t="shared" si="22"/>
      </c>
      <c r="AB99" s="80" t="str">
        <f t="shared" si="23"/>
      </c>
      <c r="AC99" s="81" t="str">
        <f t="array" ref="AC99">IF(AB99="","",IFERROR(INDEX(HELPER!$D$8:$D$48,IF(AB99&gt;=HELPER!$B$8,1,MATCH(AB99,HELPER!$B$8:$B$48,-1)+1)),""))</f>
      </c>
      <c r="AD99" s="82" t="str">
        <f>IF(AC99="","",IFERROR(VLOOKUP(AC99,HELPER!$F$8:$G$48,2,FALSE),""))</f>
      </c>
      <c r="AE99" s="3"/>
      <c r="AF99" s="4"/>
    </row>
    <row r="100" spans="1:32" ht="15" customHeight="1" x14ac:dyDescent="0.15">
      <c r="A100" s="3"/>
      <c r="B100" s="132">
        <v>32</v>
      </c>
      <c r="C100" s="181" t="str">
        <f>IF('INPUT DATA'!N42="","",'INPUT DATA'!N42)</f>
      </c>
      <c r="D100" s="182"/>
      <c r="E100" s="183"/>
      <c r="F100" s="70"/>
      <c r="G100" s="71"/>
      <c r="H100" s="71"/>
      <c r="I100" s="71"/>
      <c r="J100" s="72"/>
      <c r="K100" s="73" t="str">
        <f t="shared" si="12"/>
      </c>
      <c r="L100" s="74" t="str">
        <f t="shared" si="13"/>
      </c>
      <c r="M100" s="75" t="str">
        <f t="shared" si="14"/>
      </c>
      <c r="N100" s="70"/>
      <c r="O100" s="71"/>
      <c r="P100" s="72"/>
      <c r="Q100" s="73" t="str">
        <f t="shared" si="15"/>
      </c>
      <c r="R100" s="74" t="str">
        <f t="shared" si="16"/>
      </c>
      <c r="S100" s="75" t="str">
        <f t="shared" si="17"/>
      </c>
      <c r="T100" s="70"/>
      <c r="U100" s="71"/>
      <c r="V100" s="72"/>
      <c r="W100" s="77" t="str">
        <f t="shared" si="18"/>
      </c>
      <c r="X100" s="74" t="str">
        <f t="shared" si="19"/>
      </c>
      <c r="Y100" s="75" t="str">
        <f t="shared" si="20"/>
      </c>
      <c r="Z100" s="78" t="str">
        <f t="shared" si="21"/>
      </c>
      <c r="AA100" s="79" t="str">
        <f t="shared" si="22"/>
      </c>
      <c r="AB100" s="80" t="str">
        <f t="shared" si="23"/>
      </c>
      <c r="AC100" s="81" t="str">
        <f t="array" ref="AC100">IF(AB100="","",IFERROR(INDEX(HELPER!$D$8:$D$48,IF(AB100&gt;=HELPER!$B$8,1,MATCH(AB100,HELPER!$B$8:$B$48,-1)+1)),""))</f>
      </c>
      <c r="AD100" s="82" t="str">
        <f>IF(AC100="","",IFERROR(VLOOKUP(AC100,HELPER!$F$8:$G$48,2,FALSE),""))</f>
      </c>
      <c r="AE100" s="3"/>
      <c r="AF100" s="4"/>
    </row>
    <row r="101" spans="1:32" ht="15" customHeight="1" x14ac:dyDescent="0.15">
      <c r="A101" s="3"/>
      <c r="B101" s="132">
        <v>33</v>
      </c>
      <c r="C101" s="181" t="str">
        <f>IF('INPUT DATA'!N43="","",'INPUT DATA'!N43)</f>
      </c>
      <c r="D101" s="182"/>
      <c r="E101" s="183"/>
      <c r="F101" s="70"/>
      <c r="G101" s="71"/>
      <c r="H101" s="71"/>
      <c r="I101" s="71"/>
      <c r="J101" s="72"/>
      <c r="K101" s="73" t="str">
        <f t="shared" si="12"/>
      </c>
      <c r="L101" s="74" t="str">
        <f t="shared" si="13"/>
      </c>
      <c r="M101" s="75" t="str">
        <f t="shared" si="14"/>
      </c>
      <c r="N101" s="70"/>
      <c r="O101" s="71"/>
      <c r="P101" s="72"/>
      <c r="Q101" s="73" t="str">
        <f t="shared" si="15"/>
      </c>
      <c r="R101" s="74" t="str">
        <f t="shared" si="16"/>
      </c>
      <c r="S101" s="75" t="str">
        <f t="shared" si="17"/>
      </c>
      <c r="T101" s="70"/>
      <c r="U101" s="71"/>
      <c r="V101" s="72"/>
      <c r="W101" s="77" t="str">
        <f t="shared" si="18"/>
      </c>
      <c r="X101" s="74" t="str">
        <f t="shared" si="19"/>
      </c>
      <c r="Y101" s="75" t="str">
        <f t="shared" si="20"/>
      </c>
      <c r="Z101" s="78" t="str">
        <f t="shared" si="21"/>
      </c>
      <c r="AA101" s="79" t="str">
        <f t="shared" si="22"/>
      </c>
      <c r="AB101" s="80" t="str">
        <f t="shared" si="23"/>
      </c>
      <c r="AC101" s="81" t="str">
        <f t="array" ref="AC101">IF(AB101="","",IFERROR(INDEX(HELPER!$D$8:$D$48,IF(AB101&gt;=HELPER!$B$8,1,MATCH(AB101,HELPER!$B$8:$B$48,-1)+1)),""))</f>
      </c>
      <c r="AD101" s="82" t="str">
        <f>IF(AC101="","",IFERROR(VLOOKUP(AC101,HELPER!$F$8:$G$48,2,FALSE),""))</f>
      </c>
      <c r="AE101" s="3"/>
      <c r="AF101" s="4"/>
    </row>
    <row r="102" spans="1:32" ht="15" customHeight="1" x14ac:dyDescent="0.15">
      <c r="A102" s="3"/>
      <c r="B102" s="132">
        <v>34</v>
      </c>
      <c r="C102" s="181" t="str">
        <f>IF('INPUT DATA'!N44="","",'INPUT DATA'!N44)</f>
      </c>
      <c r="D102" s="182"/>
      <c r="E102" s="183"/>
      <c r="F102" s="70"/>
      <c r="G102" s="71"/>
      <c r="H102" s="71"/>
      <c r="I102" s="71"/>
      <c r="J102" s="72"/>
      <c r="K102" s="73" t="str">
        <f t="shared" si="12"/>
      </c>
      <c r="L102" s="74" t="str">
        <f t="shared" si="13"/>
      </c>
      <c r="M102" s="75" t="str">
        <f t="shared" si="14"/>
      </c>
      <c r="N102" s="70"/>
      <c r="O102" s="71"/>
      <c r="P102" s="72"/>
      <c r="Q102" s="73" t="str">
        <f t="shared" si="15"/>
      </c>
      <c r="R102" s="74" t="str">
        <f t="shared" si="16"/>
      </c>
      <c r="S102" s="75" t="str">
        <f t="shared" si="17"/>
      </c>
      <c r="T102" s="70"/>
      <c r="U102" s="71"/>
      <c r="V102" s="72"/>
      <c r="W102" s="77" t="str">
        <f t="shared" si="18"/>
      </c>
      <c r="X102" s="74" t="str">
        <f t="shared" si="19"/>
      </c>
      <c r="Y102" s="75" t="str">
        <f t="shared" si="20"/>
      </c>
      <c r="Z102" s="78" t="str">
        <f t="shared" si="21"/>
      </c>
      <c r="AA102" s="79" t="str">
        <f t="shared" si="22"/>
      </c>
      <c r="AB102" s="80" t="str">
        <f t="shared" si="23"/>
      </c>
      <c r="AC102" s="81" t="str">
        <f t="array" ref="AC102">IF(AB102="","",IFERROR(INDEX(HELPER!$D$8:$D$48,IF(AB102&gt;=HELPER!$B$8,1,MATCH(AB102,HELPER!$B$8:$B$48,-1)+1)),""))</f>
      </c>
      <c r="AD102" s="82" t="str">
        <f>IF(AC102="","",IFERROR(VLOOKUP(AC102,HELPER!$F$8:$G$48,2,FALSE),""))</f>
      </c>
      <c r="AE102" s="3"/>
      <c r="AF102" s="4"/>
    </row>
    <row r="103" spans="1:32" ht="15" customHeight="1" x14ac:dyDescent="0.15">
      <c r="A103" s="3"/>
      <c r="B103" s="132">
        <v>35</v>
      </c>
      <c r="C103" s="181" t="str">
        <f>IF('INPUT DATA'!N45="","",'INPUT DATA'!N45)</f>
      </c>
      <c r="D103" s="182"/>
      <c r="E103" s="183"/>
      <c r="F103" s="70"/>
      <c r="G103" s="71"/>
      <c r="H103" s="71"/>
      <c r="I103" s="71"/>
      <c r="J103" s="72"/>
      <c r="K103" s="73" t="str">
        <f t="shared" si="12"/>
      </c>
      <c r="L103" s="74" t="str">
        <f t="shared" si="13"/>
      </c>
      <c r="M103" s="75" t="str">
        <f t="shared" si="14"/>
      </c>
      <c r="N103" s="70"/>
      <c r="O103" s="71"/>
      <c r="P103" s="72"/>
      <c r="Q103" s="73" t="str">
        <f t="shared" si="15"/>
      </c>
      <c r="R103" s="74" t="str">
        <f t="shared" si="16"/>
      </c>
      <c r="S103" s="75" t="str">
        <f t="shared" si="17"/>
      </c>
      <c r="T103" s="70"/>
      <c r="U103" s="71"/>
      <c r="V103" s="72"/>
      <c r="W103" s="77" t="str">
        <f t="shared" si="18"/>
      </c>
      <c r="X103" s="74" t="str">
        <f t="shared" si="19"/>
      </c>
      <c r="Y103" s="75" t="str">
        <f t="shared" si="20"/>
      </c>
      <c r="Z103" s="78" t="str">
        <f t="shared" si="21"/>
      </c>
      <c r="AA103" s="79" t="str">
        <f t="shared" si="22"/>
      </c>
      <c r="AB103" s="80" t="str">
        <f t="shared" si="23"/>
      </c>
      <c r="AC103" s="81" t="str">
        <f t="array" ref="AC103">IF(AB103="","",IFERROR(INDEX(HELPER!$D$8:$D$48,IF(AB103&gt;=HELPER!$B$8,1,MATCH(AB103,HELPER!$B$8:$B$48,-1)+1)),""))</f>
      </c>
      <c r="AD103" s="82" t="str">
        <f>IF(AC103="","",IFERROR(VLOOKUP(AC103,HELPER!$F$8:$G$48,2,FALSE),""))</f>
      </c>
      <c r="AE103" s="3"/>
      <c r="AF103" s="4"/>
    </row>
    <row r="104" spans="1:32" ht="15" customHeight="1" x14ac:dyDescent="0.15">
      <c r="A104" s="3"/>
      <c r="B104" s="132">
        <v>36</v>
      </c>
      <c r="C104" s="181" t="str">
        <f>IF('INPUT DATA'!N46="","",'INPUT DATA'!N46)</f>
      </c>
      <c r="D104" s="182"/>
      <c r="E104" s="183"/>
      <c r="F104" s="70"/>
      <c r="G104" s="71"/>
      <c r="H104" s="71"/>
      <c r="I104" s="71"/>
      <c r="J104" s="72"/>
      <c r="K104" s="73" t="str">
        <f t="shared" si="12"/>
      </c>
      <c r="L104" s="74" t="str">
        <f t="shared" si="13"/>
      </c>
      <c r="M104" s="75" t="str">
        <f t="shared" si="14"/>
      </c>
      <c r="N104" s="70"/>
      <c r="O104" s="71"/>
      <c r="P104" s="72"/>
      <c r="Q104" s="73" t="str">
        <f t="shared" si="15"/>
      </c>
      <c r="R104" s="74" t="str">
        <f t="shared" si="16"/>
      </c>
      <c r="S104" s="75" t="str">
        <f t="shared" si="17"/>
      </c>
      <c r="T104" s="70"/>
      <c r="U104" s="71"/>
      <c r="V104" s="72"/>
      <c r="W104" s="77" t="str">
        <f t="shared" si="18"/>
      </c>
      <c r="X104" s="74" t="str">
        <f t="shared" si="19"/>
      </c>
      <c r="Y104" s="75" t="str">
        <f t="shared" si="20"/>
      </c>
      <c r="Z104" s="78" t="str">
        <f t="shared" si="21"/>
      </c>
      <c r="AA104" s="79" t="str">
        <f t="shared" si="22"/>
      </c>
      <c r="AB104" s="80" t="str">
        <f t="shared" si="23"/>
      </c>
      <c r="AC104" s="81" t="str">
        <f t="array" ref="AC104">IF(AB104="","",IFERROR(INDEX(HELPER!$D$8:$D$48,IF(AB104&gt;=HELPER!$B$8,1,MATCH(AB104,HELPER!$B$8:$B$48,-1)+1)),""))</f>
      </c>
      <c r="AD104" s="82" t="str">
        <f>IF(AC104="","",IFERROR(VLOOKUP(AC104,HELPER!$F$8:$G$48,2,FALSE),""))</f>
      </c>
      <c r="AE104" s="3"/>
      <c r="AF104" s="4"/>
    </row>
    <row r="105" spans="1:32" ht="15" customHeight="1" x14ac:dyDescent="0.15">
      <c r="A105" s="3"/>
      <c r="B105" s="132">
        <v>37</v>
      </c>
      <c r="C105" s="181" t="str">
        <f>IF('INPUT DATA'!N47="","",'INPUT DATA'!N47)</f>
      </c>
      <c r="D105" s="182"/>
      <c r="E105" s="183"/>
      <c r="F105" s="70"/>
      <c r="G105" s="71"/>
      <c r="H105" s="71"/>
      <c r="I105" s="71"/>
      <c r="J105" s="72"/>
      <c r="K105" s="73" t="str">
        <f t="shared" si="12"/>
      </c>
      <c r="L105" s="74" t="str">
        <f t="shared" si="13"/>
      </c>
      <c r="M105" s="75" t="str">
        <f t="shared" si="14"/>
      </c>
      <c r="N105" s="70"/>
      <c r="O105" s="71"/>
      <c r="P105" s="72"/>
      <c r="Q105" s="73" t="str">
        <f t="shared" si="15"/>
      </c>
      <c r="R105" s="74" t="str">
        <f t="shared" si="16"/>
      </c>
      <c r="S105" s="75" t="str">
        <f t="shared" si="17"/>
      </c>
      <c r="T105" s="70"/>
      <c r="U105" s="71"/>
      <c r="V105" s="72"/>
      <c r="W105" s="77" t="str">
        <f t="shared" si="18"/>
      </c>
      <c r="X105" s="74" t="str">
        <f t="shared" si="19"/>
      </c>
      <c r="Y105" s="75" t="str">
        <f t="shared" si="20"/>
      </c>
      <c r="Z105" s="78" t="str">
        <f t="shared" si="21"/>
      </c>
      <c r="AA105" s="79" t="str">
        <f t="shared" si="22"/>
      </c>
      <c r="AB105" s="80" t="str">
        <f t="shared" si="23"/>
      </c>
      <c r="AC105" s="81" t="str">
        <f t="array" ref="AC105">IF(AB105="","",IFERROR(INDEX(HELPER!$D$8:$D$48,IF(AB105&gt;=HELPER!$B$8,1,MATCH(AB105,HELPER!$B$8:$B$48,-1)+1)),""))</f>
      </c>
      <c r="AD105" s="82" t="str">
        <f>IF(AC105="","",IFERROR(VLOOKUP(AC105,HELPER!$F$8:$G$48,2,FALSE),""))</f>
      </c>
      <c r="AE105" s="3"/>
      <c r="AF105" s="4"/>
    </row>
    <row r="106" spans="1:32" ht="15" customHeight="1" x14ac:dyDescent="0.15">
      <c r="A106" s="3"/>
      <c r="B106" s="132">
        <v>38</v>
      </c>
      <c r="C106" s="181" t="str">
        <f>IF('INPUT DATA'!N48="","",'INPUT DATA'!N48)</f>
      </c>
      <c r="D106" s="182"/>
      <c r="E106" s="183"/>
      <c r="F106" s="70"/>
      <c r="G106" s="71"/>
      <c r="H106" s="71"/>
      <c r="I106" s="71"/>
      <c r="J106" s="72"/>
      <c r="K106" s="73" t="str">
        <f t="shared" si="12"/>
      </c>
      <c r="L106" s="74" t="str">
        <f t="shared" si="13"/>
      </c>
      <c r="M106" s="75" t="str">
        <f t="shared" si="14"/>
      </c>
      <c r="N106" s="70"/>
      <c r="O106" s="71"/>
      <c r="P106" s="72"/>
      <c r="Q106" s="73" t="str">
        <f t="shared" si="15"/>
      </c>
      <c r="R106" s="74" t="str">
        <f t="shared" si="16"/>
      </c>
      <c r="S106" s="75" t="str">
        <f t="shared" si="17"/>
      </c>
      <c r="T106" s="70"/>
      <c r="U106" s="71"/>
      <c r="V106" s="72"/>
      <c r="W106" s="77" t="str">
        <f t="shared" si="18"/>
      </c>
      <c r="X106" s="74" t="str">
        <f t="shared" si="19"/>
      </c>
      <c r="Y106" s="75" t="str">
        <f t="shared" si="20"/>
      </c>
      <c r="Z106" s="78" t="str">
        <f t="shared" si="21"/>
      </c>
      <c r="AA106" s="79" t="str">
        <f t="shared" si="22"/>
      </c>
      <c r="AB106" s="80" t="str">
        <f t="shared" si="23"/>
      </c>
      <c r="AC106" s="81" t="str">
        <f t="array" ref="AC106">IF(AB106="","",IFERROR(INDEX(HELPER!$D$8:$D$48,IF(AB106&gt;=HELPER!$B$8,1,MATCH(AB106,HELPER!$B$8:$B$48,-1)+1)),""))</f>
      </c>
      <c r="AD106" s="82" t="str">
        <f>IF(AC106="","",IFERROR(VLOOKUP(AC106,HELPER!$F$8:$G$48,2,FALSE),""))</f>
      </c>
      <c r="AE106" s="3"/>
      <c r="AF106" s="4"/>
    </row>
    <row r="107" spans="1:32" ht="15" customHeight="1" x14ac:dyDescent="0.15">
      <c r="A107" s="3"/>
      <c r="B107" s="132">
        <v>39</v>
      </c>
      <c r="C107" s="181" t="str">
        <f>IF('INPUT DATA'!N49="","",'INPUT DATA'!N49)</f>
      </c>
      <c r="D107" s="182"/>
      <c r="E107" s="183"/>
      <c r="F107" s="70"/>
      <c r="G107" s="71"/>
      <c r="H107" s="71"/>
      <c r="I107" s="71"/>
      <c r="J107" s="72"/>
      <c r="K107" s="73" t="str">
        <f t="shared" si="12"/>
      </c>
      <c r="L107" s="74" t="str">
        <f t="shared" si="13"/>
      </c>
      <c r="M107" s="75" t="str">
        <f t="shared" si="14"/>
      </c>
      <c r="N107" s="70"/>
      <c r="O107" s="71"/>
      <c r="P107" s="72"/>
      <c r="Q107" s="73" t="str">
        <f t="shared" si="15"/>
      </c>
      <c r="R107" s="74" t="str">
        <f t="shared" si="16"/>
      </c>
      <c r="S107" s="75" t="str">
        <f t="shared" si="17"/>
      </c>
      <c r="T107" s="70"/>
      <c r="U107" s="71"/>
      <c r="V107" s="72"/>
      <c r="W107" s="77" t="str">
        <f t="shared" si="18"/>
      </c>
      <c r="X107" s="74" t="str">
        <f t="shared" si="19"/>
      </c>
      <c r="Y107" s="75" t="str">
        <f t="shared" si="20"/>
      </c>
      <c r="Z107" s="78" t="str">
        <f t="shared" si="21"/>
      </c>
      <c r="AA107" s="79" t="str">
        <f t="shared" si="22"/>
      </c>
      <c r="AB107" s="80" t="str">
        <f t="shared" si="23"/>
      </c>
      <c r="AC107" s="81" t="str">
        <f t="array" ref="AC107">IF(AB107="","",IFERROR(INDEX(HELPER!$D$8:$D$48,IF(AB107&gt;=HELPER!$B$8,1,MATCH(AB107,HELPER!$B$8:$B$48,-1)+1)),""))</f>
      </c>
      <c r="AD107" s="82" t="str">
        <f>IF(AC107="","",IFERROR(VLOOKUP(AC107,HELPER!$F$8:$G$48,2,FALSE),""))</f>
      </c>
      <c r="AE107" s="3"/>
      <c r="AF107" s="4"/>
    </row>
    <row r="108" spans="1:32" ht="15" customHeight="1" x14ac:dyDescent="0.15">
      <c r="A108" s="3"/>
      <c r="B108" s="132">
        <v>40</v>
      </c>
      <c r="C108" s="181" t="str">
        <f>IF('INPUT DATA'!N50="","",'INPUT DATA'!N50)</f>
      </c>
      <c r="D108" s="182"/>
      <c r="E108" s="183"/>
      <c r="F108" s="70"/>
      <c r="G108" s="71"/>
      <c r="H108" s="71"/>
      <c r="I108" s="71"/>
      <c r="J108" s="72"/>
      <c r="K108" s="73" t="str">
        <f t="shared" si="12"/>
      </c>
      <c r="L108" s="74" t="str">
        <f t="shared" si="13"/>
      </c>
      <c r="M108" s="75" t="str">
        <f t="shared" si="14"/>
      </c>
      <c r="N108" s="70"/>
      <c r="O108" s="71"/>
      <c r="P108" s="72"/>
      <c r="Q108" s="73" t="str">
        <f t="shared" si="15"/>
      </c>
      <c r="R108" s="74" t="str">
        <f t="shared" si="16"/>
      </c>
      <c r="S108" s="75" t="str">
        <f t="shared" si="17"/>
      </c>
      <c r="T108" s="70"/>
      <c r="U108" s="71"/>
      <c r="V108" s="72"/>
      <c r="W108" s="77" t="str">
        <f t="shared" si="18"/>
      </c>
      <c r="X108" s="74" t="str">
        <f t="shared" si="19"/>
      </c>
      <c r="Y108" s="75" t="str">
        <f t="shared" si="20"/>
      </c>
      <c r="Z108" s="78" t="str">
        <f t="shared" si="21"/>
      </c>
      <c r="AA108" s="79" t="str">
        <f t="shared" si="22"/>
      </c>
      <c r="AB108" s="80" t="str">
        <f t="shared" si="23"/>
      </c>
      <c r="AC108" s="81" t="str">
        <f t="array" ref="AC108">IF(AB108="","",IFERROR(INDEX(HELPER!$D$8:$D$48,IF(AB108&gt;=HELPER!$B$8,1,MATCH(AB108,HELPER!$B$8:$B$48,-1)+1)),""))</f>
      </c>
      <c r="AD108" s="82" t="str">
        <f>IF(AC108="","",IFERROR(VLOOKUP(AC108,HELPER!$F$8:$G$48,2,FALSE),""))</f>
      </c>
      <c r="AE108" s="3"/>
      <c r="AF108" s="4"/>
    </row>
    <row r="109" spans="1:32" ht="15" customHeight="1" x14ac:dyDescent="0.15">
      <c r="A109" s="3"/>
      <c r="B109" s="132">
        <v>41</v>
      </c>
      <c r="C109" s="181" t="str">
        <f>IF('INPUT DATA'!N51="","",'INPUT DATA'!N51)</f>
      </c>
      <c r="D109" s="182"/>
      <c r="E109" s="183"/>
      <c r="F109" s="70"/>
      <c r="G109" s="71"/>
      <c r="H109" s="71"/>
      <c r="I109" s="71"/>
      <c r="J109" s="72"/>
      <c r="K109" s="73" t="str">
        <f t="shared" si="12"/>
      </c>
      <c r="L109" s="74" t="str">
        <f t="shared" si="13"/>
      </c>
      <c r="M109" s="75" t="str">
        <f t="shared" si="14"/>
      </c>
      <c r="N109" s="70"/>
      <c r="O109" s="71"/>
      <c r="P109" s="72"/>
      <c r="Q109" s="73" t="str">
        <f t="shared" si="15"/>
      </c>
      <c r="R109" s="74" t="str">
        <f t="shared" si="16"/>
      </c>
      <c r="S109" s="75" t="str">
        <f t="shared" si="17"/>
      </c>
      <c r="T109" s="70"/>
      <c r="U109" s="71"/>
      <c r="V109" s="72"/>
      <c r="W109" s="77" t="str">
        <f t="shared" si="18"/>
      </c>
      <c r="X109" s="74" t="str">
        <f t="shared" si="19"/>
      </c>
      <c r="Y109" s="75" t="str">
        <f t="shared" si="20"/>
      </c>
      <c r="Z109" s="78" t="str">
        <f t="shared" si="21"/>
      </c>
      <c r="AA109" s="79" t="str">
        <f t="shared" si="22"/>
      </c>
      <c r="AB109" s="80" t="str">
        <f t="shared" si="23"/>
      </c>
      <c r="AC109" s="81" t="str">
        <f t="array" ref="AC109">IF(AB109="","",IFERROR(INDEX(HELPER!$D$8:$D$48,IF(AB109&gt;=HELPER!$B$8,1,MATCH(AB109,HELPER!$B$8:$B$48,-1)+1)),""))</f>
      </c>
      <c r="AD109" s="82" t="str">
        <f>IF(AC109="","",IFERROR(VLOOKUP(AC109,HELPER!$F$8:$G$48,2,FALSE),""))</f>
      </c>
      <c r="AE109" s="3"/>
      <c r="AF109" s="4"/>
    </row>
    <row r="110" spans="1:32" ht="15" customHeight="1" x14ac:dyDescent="0.15">
      <c r="A110" s="3"/>
      <c r="B110" s="132">
        <v>42</v>
      </c>
      <c r="C110" s="181" t="str">
        <f>IF('INPUT DATA'!N52="","",'INPUT DATA'!N52)</f>
      </c>
      <c r="D110" s="182"/>
      <c r="E110" s="183"/>
      <c r="F110" s="70"/>
      <c r="G110" s="71"/>
      <c r="H110" s="71"/>
      <c r="I110" s="71"/>
      <c r="J110" s="72"/>
      <c r="K110" s="73" t="str">
        <f t="shared" si="12"/>
      </c>
      <c r="L110" s="74" t="str">
        <f t="shared" si="13"/>
      </c>
      <c r="M110" s="75" t="str">
        <f t="shared" si="14"/>
      </c>
      <c r="N110" s="70"/>
      <c r="O110" s="71"/>
      <c r="P110" s="72"/>
      <c r="Q110" s="73" t="str">
        <f t="shared" si="15"/>
      </c>
      <c r="R110" s="74" t="str">
        <f t="shared" si="16"/>
      </c>
      <c r="S110" s="75" t="str">
        <f t="shared" si="17"/>
      </c>
      <c r="T110" s="70"/>
      <c r="U110" s="71"/>
      <c r="V110" s="72"/>
      <c r="W110" s="77" t="str">
        <f t="shared" si="18"/>
      </c>
      <c r="X110" s="74" t="str">
        <f t="shared" si="19"/>
      </c>
      <c r="Y110" s="75" t="str">
        <f t="shared" si="20"/>
      </c>
      <c r="Z110" s="78" t="str">
        <f t="shared" si="21"/>
      </c>
      <c r="AA110" s="79" t="str">
        <f t="shared" si="22"/>
      </c>
      <c r="AB110" s="80" t="str">
        <f t="shared" si="23"/>
      </c>
      <c r="AC110" s="81" t="str">
        <f t="array" ref="AC110">IF(AB110="","",IFERROR(INDEX(HELPER!$D$8:$D$48,IF(AB110&gt;=HELPER!$B$8,1,MATCH(AB110,HELPER!$B$8:$B$48,-1)+1)),""))</f>
      </c>
      <c r="AD110" s="82" t="str">
        <f>IF(AC110="","",IFERROR(VLOOKUP(AC110,HELPER!$F$8:$G$48,2,FALSE),""))</f>
      </c>
      <c r="AE110" s="3"/>
      <c r="AF110" s="4"/>
    </row>
    <row r="111" spans="1:32" ht="15" customHeight="1" x14ac:dyDescent="0.15">
      <c r="A111" s="3"/>
      <c r="B111" s="132">
        <v>43</v>
      </c>
      <c r="C111" s="181" t="str">
        <f>IF('INPUT DATA'!N53="","",'INPUT DATA'!N53)</f>
      </c>
      <c r="D111" s="182"/>
      <c r="E111" s="183"/>
      <c r="F111" s="70"/>
      <c r="G111" s="71"/>
      <c r="H111" s="71"/>
      <c r="I111" s="71"/>
      <c r="J111" s="72"/>
      <c r="K111" s="73" t="str">
        <f t="shared" si="12"/>
      </c>
      <c r="L111" s="74" t="str">
        <f t="shared" si="13"/>
      </c>
      <c r="M111" s="75" t="str">
        <f t="shared" si="14"/>
      </c>
      <c r="N111" s="70"/>
      <c r="O111" s="71"/>
      <c r="P111" s="72"/>
      <c r="Q111" s="73" t="str">
        <f t="shared" si="15"/>
      </c>
      <c r="R111" s="74" t="str">
        <f t="shared" si="16"/>
      </c>
      <c r="S111" s="75" t="str">
        <f t="shared" si="17"/>
      </c>
      <c r="T111" s="70"/>
      <c r="U111" s="71"/>
      <c r="V111" s="72"/>
      <c r="W111" s="77" t="str">
        <f t="shared" si="18"/>
      </c>
      <c r="X111" s="74" t="str">
        <f t="shared" si="19"/>
      </c>
      <c r="Y111" s="75" t="str">
        <f t="shared" si="20"/>
      </c>
      <c r="Z111" s="78" t="str">
        <f t="shared" si="21"/>
      </c>
      <c r="AA111" s="79" t="str">
        <f t="shared" si="22"/>
      </c>
      <c r="AB111" s="80" t="str">
        <f t="shared" si="23"/>
      </c>
      <c r="AC111" s="81" t="str">
        <f t="array" ref="AC111">IF(AB111="","",IFERROR(INDEX(HELPER!$D$8:$D$48,IF(AB111&gt;=HELPER!$B$8,1,MATCH(AB111,HELPER!$B$8:$B$48,-1)+1)),""))</f>
      </c>
      <c r="AD111" s="82" t="str">
        <f>IF(AC111="","",IFERROR(VLOOKUP(AC111,HELPER!$F$8:$G$48,2,FALSE),""))</f>
      </c>
      <c r="AE111" s="3"/>
      <c r="AF111" s="4"/>
    </row>
    <row r="112" spans="1:32" ht="15" customHeight="1" x14ac:dyDescent="0.15">
      <c r="A112" s="3"/>
      <c r="B112" s="132">
        <v>44</v>
      </c>
      <c r="C112" s="181" t="str">
        <f>IF('INPUT DATA'!N54="","",'INPUT DATA'!N54)</f>
      </c>
      <c r="D112" s="182"/>
      <c r="E112" s="183"/>
      <c r="F112" s="70"/>
      <c r="G112" s="71"/>
      <c r="H112" s="71"/>
      <c r="I112" s="71"/>
      <c r="J112" s="72"/>
      <c r="K112" s="73" t="str">
        <f t="shared" si="12"/>
      </c>
      <c r="L112" s="74" t="str">
        <f t="shared" si="13"/>
      </c>
      <c r="M112" s="75" t="str">
        <f t="shared" si="14"/>
      </c>
      <c r="N112" s="70"/>
      <c r="O112" s="71"/>
      <c r="P112" s="72"/>
      <c r="Q112" s="73" t="str">
        <f t="shared" si="15"/>
      </c>
      <c r="R112" s="74" t="str">
        <f t="shared" si="16"/>
      </c>
      <c r="S112" s="75" t="str">
        <f t="shared" si="17"/>
      </c>
      <c r="T112" s="70"/>
      <c r="U112" s="71"/>
      <c r="V112" s="72"/>
      <c r="W112" s="77" t="str">
        <f t="shared" si="18"/>
      </c>
      <c r="X112" s="74" t="str">
        <f t="shared" si="19"/>
      </c>
      <c r="Y112" s="75" t="str">
        <f t="shared" si="20"/>
      </c>
      <c r="Z112" s="78" t="str">
        <f t="shared" si="21"/>
      </c>
      <c r="AA112" s="79" t="str">
        <f t="shared" si="22"/>
      </c>
      <c r="AB112" s="80" t="str">
        <f t="shared" si="23"/>
      </c>
      <c r="AC112" s="81" t="str">
        <f t="array" ref="AC112">IF(AB112="","",IFERROR(INDEX(HELPER!$D$8:$D$48,IF(AB112&gt;=HELPER!$B$8,1,MATCH(AB112,HELPER!$B$8:$B$48,-1)+1)),""))</f>
      </c>
      <c r="AD112" s="82" t="str">
        <f>IF(AC112="","",IFERROR(VLOOKUP(AC112,HELPER!$F$8:$G$48,2,FALSE),""))</f>
      </c>
      <c r="AE112" s="3"/>
      <c r="AF112" s="4"/>
    </row>
    <row r="113" spans="1:32" ht="15" customHeight="1" x14ac:dyDescent="0.15">
      <c r="A113" s="3"/>
      <c r="B113" s="132">
        <v>45</v>
      </c>
      <c r="C113" s="181" t="str">
        <f>IF('INPUT DATA'!N55="","",'INPUT DATA'!N55)</f>
      </c>
      <c r="D113" s="182"/>
      <c r="E113" s="183"/>
      <c r="F113" s="70"/>
      <c r="G113" s="71"/>
      <c r="H113" s="71"/>
      <c r="I113" s="71"/>
      <c r="J113" s="72"/>
      <c r="K113" s="73" t="str">
        <f t="shared" si="12"/>
      </c>
      <c r="L113" s="74" t="str">
        <f t="shared" si="13"/>
      </c>
      <c r="M113" s="75" t="str">
        <f t="shared" si="14"/>
      </c>
      <c r="N113" s="70"/>
      <c r="O113" s="71"/>
      <c r="P113" s="72"/>
      <c r="Q113" s="73" t="str">
        <f t="shared" si="15"/>
      </c>
      <c r="R113" s="74" t="str">
        <f t="shared" si="16"/>
      </c>
      <c r="S113" s="75" t="str">
        <f t="shared" si="17"/>
      </c>
      <c r="T113" s="70"/>
      <c r="U113" s="71"/>
      <c r="V113" s="72"/>
      <c r="W113" s="77" t="str">
        <f t="shared" si="18"/>
      </c>
      <c r="X113" s="74" t="str">
        <f t="shared" si="19"/>
      </c>
      <c r="Y113" s="75" t="str">
        <f t="shared" si="20"/>
      </c>
      <c r="Z113" s="78" t="str">
        <f t="shared" si="21"/>
      </c>
      <c r="AA113" s="79" t="str">
        <f t="shared" si="22"/>
      </c>
      <c r="AB113" s="80" t="str">
        <f t="shared" si="23"/>
      </c>
      <c r="AC113" s="81" t="str">
        <f t="array" ref="AC113">IF(AB113="","",IFERROR(INDEX(HELPER!$D$8:$D$48,IF(AB113&gt;=HELPER!$B$8,1,MATCH(AB113,HELPER!$B$8:$B$48,-1)+1)),""))</f>
      </c>
      <c r="AD113" s="82" t="str">
        <f>IF(AC113="","",IFERROR(VLOOKUP(AC113,HELPER!$F$8:$G$48,2,FALSE),""))</f>
      </c>
      <c r="AE113" s="3"/>
      <c r="AF113" s="4"/>
    </row>
    <row r="114" spans="1:32" ht="15" customHeight="1" x14ac:dyDescent="0.15">
      <c r="A114" s="3"/>
      <c r="B114" s="132">
        <v>46</v>
      </c>
      <c r="C114" s="181" t="str">
        <f>IF('INPUT DATA'!N56="","",'INPUT DATA'!N56)</f>
      </c>
      <c r="D114" s="182"/>
      <c r="E114" s="183"/>
      <c r="F114" s="70"/>
      <c r="G114" s="71"/>
      <c r="H114" s="71"/>
      <c r="I114" s="71"/>
      <c r="J114" s="72"/>
      <c r="K114" s="73" t="str">
        <f t="shared" si="12"/>
      </c>
      <c r="L114" s="74" t="str">
        <f t="shared" si="13"/>
      </c>
      <c r="M114" s="75" t="str">
        <f t="shared" si="14"/>
      </c>
      <c r="N114" s="70"/>
      <c r="O114" s="71"/>
      <c r="P114" s="72"/>
      <c r="Q114" s="73" t="str">
        <f t="shared" si="15"/>
      </c>
      <c r="R114" s="74" t="str">
        <f t="shared" si="16"/>
      </c>
      <c r="S114" s="75" t="str">
        <f t="shared" si="17"/>
      </c>
      <c r="T114" s="70"/>
      <c r="U114" s="71"/>
      <c r="V114" s="72"/>
      <c r="W114" s="77" t="str">
        <f t="shared" si="18"/>
      </c>
      <c r="X114" s="74" t="str">
        <f t="shared" si="19"/>
      </c>
      <c r="Y114" s="75" t="str">
        <f t="shared" si="20"/>
      </c>
      <c r="Z114" s="78" t="str">
        <f t="shared" si="21"/>
      </c>
      <c r="AA114" s="79" t="str">
        <f t="shared" si="22"/>
      </c>
      <c r="AB114" s="80" t="str">
        <f t="shared" si="23"/>
      </c>
      <c r="AC114" s="81" t="str">
        <f t="array" ref="AC114">IF(AB114="","",IFERROR(INDEX(HELPER!$D$8:$D$48,IF(AB114&gt;=HELPER!$B$8,1,MATCH(AB114,HELPER!$B$8:$B$48,-1)+1)),""))</f>
      </c>
      <c r="AD114" s="82" t="str">
        <f>IF(AC114="","",IFERROR(VLOOKUP(AC114,HELPER!$F$8:$G$48,2,FALSE),""))</f>
      </c>
      <c r="AE114" s="3"/>
      <c r="AF114" s="4"/>
    </row>
    <row r="115" spans="1:32" ht="15" customHeight="1" x14ac:dyDescent="0.15">
      <c r="A115" s="3"/>
      <c r="B115" s="132">
        <v>47</v>
      </c>
      <c r="C115" s="181" t="str">
        <f>IF('INPUT DATA'!N57="","",'INPUT DATA'!N57)</f>
      </c>
      <c r="D115" s="182"/>
      <c r="E115" s="183"/>
      <c r="F115" s="70"/>
      <c r="G115" s="71"/>
      <c r="H115" s="71"/>
      <c r="I115" s="71"/>
      <c r="J115" s="72"/>
      <c r="K115" s="73" t="str">
        <f t="shared" si="12"/>
      </c>
      <c r="L115" s="74" t="str">
        <f t="shared" si="13"/>
      </c>
      <c r="M115" s="75" t="str">
        <f t="shared" si="14"/>
      </c>
      <c r="N115" s="70"/>
      <c r="O115" s="71"/>
      <c r="P115" s="72"/>
      <c r="Q115" s="73" t="str">
        <f t="shared" si="15"/>
      </c>
      <c r="R115" s="74" t="str">
        <f t="shared" si="16"/>
      </c>
      <c r="S115" s="75" t="str">
        <f t="shared" si="17"/>
      </c>
      <c r="T115" s="70"/>
      <c r="U115" s="71"/>
      <c r="V115" s="72"/>
      <c r="W115" s="77" t="str">
        <f t="shared" si="18"/>
      </c>
      <c r="X115" s="74" t="str">
        <f t="shared" si="19"/>
      </c>
      <c r="Y115" s="75" t="str">
        <f t="shared" si="20"/>
      </c>
      <c r="Z115" s="78" t="str">
        <f t="shared" si="21"/>
      </c>
      <c r="AA115" s="79" t="str">
        <f t="shared" si="22"/>
      </c>
      <c r="AB115" s="80" t="str">
        <f t="shared" si="23"/>
      </c>
      <c r="AC115" s="81" t="str">
        <f t="array" ref="AC115">IF(AB115="","",IFERROR(INDEX(HELPER!$D$8:$D$48,IF(AB115&gt;=HELPER!$B$8,1,MATCH(AB115,HELPER!$B$8:$B$48,-1)+1)),""))</f>
      </c>
      <c r="AD115" s="82" t="str">
        <f>IF(AC115="","",IFERROR(VLOOKUP(AC115,HELPER!$F$8:$G$48,2,FALSE),""))</f>
      </c>
      <c r="AE115" s="3"/>
      <c r="AF115" s="4"/>
    </row>
    <row r="116" spans="1:32" ht="15" customHeight="1" x14ac:dyDescent="0.15">
      <c r="A116" s="3"/>
      <c r="B116" s="132">
        <v>48</v>
      </c>
      <c r="C116" s="181" t="str">
        <f>IF('INPUT DATA'!N58="","",'INPUT DATA'!N58)</f>
      </c>
      <c r="D116" s="182"/>
      <c r="E116" s="183"/>
      <c r="F116" s="70"/>
      <c r="G116" s="71"/>
      <c r="H116" s="71"/>
      <c r="I116" s="71"/>
      <c r="J116" s="72"/>
      <c r="K116" s="73" t="str">
        <f t="shared" si="12"/>
      </c>
      <c r="L116" s="74" t="str">
        <f t="shared" si="13"/>
      </c>
      <c r="M116" s="75" t="str">
        <f t="shared" si="14"/>
      </c>
      <c r="N116" s="70"/>
      <c r="O116" s="71"/>
      <c r="P116" s="72"/>
      <c r="Q116" s="73" t="str">
        <f t="shared" si="15"/>
      </c>
      <c r="R116" s="74" t="str">
        <f t="shared" si="16"/>
      </c>
      <c r="S116" s="75" t="str">
        <f t="shared" si="17"/>
      </c>
      <c r="T116" s="70"/>
      <c r="U116" s="71"/>
      <c r="V116" s="72"/>
      <c r="W116" s="77" t="str">
        <f t="shared" si="18"/>
      </c>
      <c r="X116" s="74" t="str">
        <f t="shared" si="19"/>
      </c>
      <c r="Y116" s="75" t="str">
        <f t="shared" si="20"/>
      </c>
      <c r="Z116" s="78" t="str">
        <f t="shared" si="21"/>
      </c>
      <c r="AA116" s="79" t="str">
        <f t="shared" si="22"/>
      </c>
      <c r="AB116" s="80" t="str">
        <f t="shared" si="23"/>
      </c>
      <c r="AC116" s="81" t="str">
        <f t="array" ref="AC116">IF(AB116="","",IFERROR(INDEX(HELPER!$D$8:$D$48,IF(AB116&gt;=HELPER!$B$8,1,MATCH(AB116,HELPER!$B$8:$B$48,-1)+1)),""))</f>
      </c>
      <c r="AD116" s="82" t="str">
        <f>IF(AC116="","",IFERROR(VLOOKUP(AC116,HELPER!$F$8:$G$48,2,FALSE),""))</f>
      </c>
      <c r="AE116" s="3"/>
      <c r="AF116" s="4"/>
    </row>
    <row r="117" spans="1:32" ht="15" customHeight="1" x14ac:dyDescent="0.15">
      <c r="A117" s="3"/>
      <c r="B117" s="132">
        <v>49</v>
      </c>
      <c r="C117" s="181" t="str">
        <f>IF('INPUT DATA'!N59="","",'INPUT DATA'!N59)</f>
      </c>
      <c r="D117" s="182"/>
      <c r="E117" s="183"/>
      <c r="F117" s="70"/>
      <c r="G117" s="71"/>
      <c r="H117" s="71"/>
      <c r="I117" s="71"/>
      <c r="J117" s="72"/>
      <c r="K117" s="73" t="str">
        <f t="shared" si="12"/>
      </c>
      <c r="L117" s="74" t="str">
        <f t="shared" si="13"/>
      </c>
      <c r="M117" s="75" t="str">
        <f t="shared" si="14"/>
      </c>
      <c r="N117" s="70"/>
      <c r="O117" s="71"/>
      <c r="P117" s="72"/>
      <c r="Q117" s="73" t="str">
        <f t="shared" si="15"/>
      </c>
      <c r="R117" s="74" t="str">
        <f t="shared" si="16"/>
      </c>
      <c r="S117" s="75" t="str">
        <f t="shared" si="17"/>
      </c>
      <c r="T117" s="70"/>
      <c r="U117" s="71"/>
      <c r="V117" s="72"/>
      <c r="W117" s="77" t="str">
        <f t="shared" si="18"/>
      </c>
      <c r="X117" s="74" t="str">
        <f t="shared" si="19"/>
      </c>
      <c r="Y117" s="75" t="str">
        <f t="shared" si="20"/>
      </c>
      <c r="Z117" s="78" t="str">
        <f t="shared" si="21"/>
      </c>
      <c r="AA117" s="79" t="str">
        <f t="shared" si="22"/>
      </c>
      <c r="AB117" s="80" t="str">
        <f t="shared" si="23"/>
      </c>
      <c r="AC117" s="81" t="str">
        <f t="array" ref="AC117">IF(AB117="","",IFERROR(INDEX(HELPER!$D$8:$D$48,IF(AB117&gt;=HELPER!$B$8,1,MATCH(AB117,HELPER!$B$8:$B$48,-1)+1)),""))</f>
      </c>
      <c r="AD117" s="82" t="str">
        <f>IF(AC117="","",IFERROR(VLOOKUP(AC117,HELPER!$F$8:$G$48,2,FALSE),""))</f>
      </c>
      <c r="AE117" s="3"/>
      <c r="AF117" s="4"/>
    </row>
    <row r="118" spans="1:32" ht="15" customHeight="1" x14ac:dyDescent="0.15">
      <c r="A118" s="3"/>
      <c r="B118" s="135">
        <v>50</v>
      </c>
      <c r="C118" s="190" t="str">
        <f>IF('INPUT DATA'!N60="","",'INPUT DATA'!N60)</f>
      </c>
      <c r="D118" s="191"/>
      <c r="E118" s="192"/>
      <c r="F118" s="112"/>
      <c r="G118" s="113"/>
      <c r="H118" s="113"/>
      <c r="I118" s="113"/>
      <c r="J118" s="114"/>
      <c r="K118" s="136" t="str">
        <f t="shared" si="12"/>
      </c>
      <c r="L118" s="137" t="str">
        <f t="shared" si="13"/>
      </c>
      <c r="M118" s="138" t="str">
        <f t="shared" si="14"/>
      </c>
      <c r="N118" s="112"/>
      <c r="O118" s="113"/>
      <c r="P118" s="114"/>
      <c r="Q118" s="136" t="str">
        <f t="shared" si="15"/>
      </c>
      <c r="R118" s="137" t="str">
        <f t="shared" si="16"/>
      </c>
      <c r="S118" s="138" t="str">
        <f t="shared" si="17"/>
      </c>
      <c r="T118" s="112"/>
      <c r="U118" s="113"/>
      <c r="V118" s="114"/>
      <c r="W118" s="139" t="str">
        <f t="shared" si="18"/>
      </c>
      <c r="X118" s="137" t="str">
        <f t="shared" si="19"/>
      </c>
      <c r="Y118" s="138" t="str">
        <f t="shared" si="20"/>
      </c>
      <c r="Z118" s="140" t="str">
        <f t="shared" si="21"/>
      </c>
      <c r="AA118" s="141" t="str">
        <f t="shared" si="22"/>
      </c>
      <c r="AB118" s="142" t="str">
        <f t="shared" si="23"/>
      </c>
      <c r="AC118" s="115" t="str">
        <f t="array" ref="AC118">IF(AB118="","",IFERROR(INDEX(HELPER!$D$8:$D$48,IF(AB118&gt;=HELPER!$B$8,1,MATCH(AB118,HELPER!$B$8:$B$48,-1)+1)),""))</f>
      </c>
      <c r="AD118" s="116" t="str">
        <f>IF(AC118="","",IFERROR(VLOOKUP(AC118,HELPER!$F$8:$G$48,2,FALSE),""))</f>
      </c>
      <c r="AE118" s="3"/>
      <c r="AF118" s="4"/>
    </row>
    <row r="119" spans="1:32" ht="15.75" customHeight="1" x14ac:dyDescent="0.15">
      <c r="A119" s="3"/>
      <c r="B119" s="3"/>
      <c r="C119" s="193"/>
      <c r="D119" s="194"/>
      <c r="E119" s="194"/>
      <c r="F119" s="3"/>
      <c r="G119" s="3"/>
      <c r="H119" s="3"/>
      <c r="I119" s="3"/>
      <c r="J119" s="3"/>
      <c r="K119" s="3"/>
      <c r="L119" s="3"/>
      <c r="M119" s="3"/>
      <c r="N119" s="3"/>
      <c r="O119" s="3"/>
      <c r="P119" s="3"/>
      <c r="Q119" s="3"/>
      <c r="R119" s="3"/>
      <c r="S119" s="3"/>
      <c r="T119" s="3"/>
      <c r="U119" s="3"/>
      <c r="V119" s="3"/>
      <c r="W119" s="3"/>
      <c r="X119" s="3"/>
      <c r="Y119" s="3"/>
      <c r="Z119" s="3"/>
      <c r="AA119" s="3"/>
      <c r="AB119" s="3"/>
      <c r="AC119" s="3"/>
      <c r="AD119" s="3"/>
      <c r="AE119" s="3"/>
      <c r="AF119" s="4"/>
    </row>
    <row r="120" spans="1:32" ht="15.75" customHeight="1" x14ac:dyDescent="0.15">
      <c r="A120" s="3"/>
      <c r="B120" s="3"/>
      <c r="C120" s="193"/>
      <c r="D120" s="194"/>
      <c r="E120" s="194"/>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4"/>
    </row>
    <row r="121" spans="1:32" ht="15.75" customHeight="1"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row>
    <row r="122" spans="1:32" ht="15.75" customHeight="1"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row>
    <row r="123" spans="1:32" ht="15.75" customHeight="1"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row>
    <row r="124" spans="1:32" ht="15.75" customHeight="1"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row>
    <row r="125" spans="1:32" ht="15.75" customHeight="1"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row>
    <row r="126" spans="1:32" ht="15.75" customHeight="1"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row>
    <row r="127" spans="1:32" ht="15.75" customHeight="1"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row>
    <row r="128" spans="1:32" ht="15.75" customHeight="1"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row>
    <row r="129" spans="1:32" ht="15.75" customHeight="1"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row>
    <row r="130" spans="1:32" ht="15.75" customHeight="1"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row>
    <row r="131" spans="1:32" ht="15.75" customHeight="1"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row>
    <row r="132" spans="1:32" ht="15.75" customHeight="1"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row>
    <row r="133" spans="1:32" ht="15.75" customHeight="1"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row>
    <row r="134" spans="1:32" ht="15.75" customHeight="1"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row>
    <row r="135" spans="1:32" ht="15.75" customHeight="1"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row>
    <row r="136" spans="1:32" ht="15.75" customHeight="1"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row>
    <row r="137" spans="1:32" ht="15.75" customHeight="1"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row>
    <row r="138" spans="1:32" ht="15.75" customHeight="1"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row>
    <row r="139" spans="1:32" ht="15.75" customHeight="1"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row>
    <row r="140" spans="1:32" ht="15.75" customHeight="1"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row>
    <row r="141" spans="1:32" ht="15.75" customHeight="1"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row>
    <row r="142" spans="1:32" ht="15.75" customHeight="1"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row>
    <row r="143" spans="1:32" ht="15.75" customHeight="1"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row>
    <row r="144" spans="1:32" ht="15.75" customHeight="1"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row>
    <row r="145" spans="1:32" ht="15.75" customHeight="1"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row>
    <row r="146" spans="1:32" ht="15.75" customHeight="1"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row>
    <row r="147" spans="1:32" ht="15.75" customHeight="1"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row>
    <row r="148" spans="1:32" ht="15.75" customHeight="1"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row>
    <row r="149" spans="1:32" ht="15.75" customHeight="1"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row>
    <row r="150" spans="1:32" ht="15.75" customHeight="1"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row>
    <row r="151" spans="1:32" ht="15.75" customHeight="1"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row>
    <row r="152" spans="1:32" ht="15.75" customHeight="1"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row>
    <row r="153" spans="1:32" ht="15.75" customHeight="1"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row>
    <row r="154" spans="1:32" ht="15.75" customHeight="1"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row>
    <row r="155" spans="1:32" ht="15.75" customHeight="1"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row>
    <row r="156" spans="1:32" ht="15.75" customHeight="1"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row>
    <row r="157" spans="1:32" ht="15.75" customHeight="1"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row>
    <row r="158" spans="1:32" ht="15.75" customHeight="1"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row>
    <row r="159" spans="1:32" ht="15.75" customHeight="1"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row>
    <row r="160" spans="1:32" ht="15.75" customHeight="1"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row>
    <row r="161" spans="1:32" ht="15.75" customHeight="1"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row>
    <row r="162" spans="1:32" ht="15.75" customHeight="1"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row>
    <row r="163" spans="1:32" ht="15.75" customHeight="1"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row>
    <row r="164" spans="1:32" ht="15.75" customHeight="1"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row>
    <row r="165" spans="1:32" ht="15.75" customHeight="1"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row>
    <row r="166" spans="1:32" ht="15.75" customHeight="1"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row>
    <row r="167" spans="1:32" ht="15.75" customHeight="1"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row>
    <row r="168" spans="1:32" ht="15.75" customHeight="1"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row>
    <row r="169" spans="1:32" ht="15.75" customHeight="1"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row>
    <row r="170" spans="1:32" ht="15.75" customHeight="1"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row>
    <row r="171" spans="1:32" ht="15.75" customHeight="1"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row>
    <row r="172" spans="1:32" ht="15.75" customHeight="1"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row>
    <row r="173" spans="1:32" ht="15.75" customHeight="1"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row>
    <row r="174" spans="1:32" ht="15.75" customHeight="1"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row>
    <row r="175" spans="1:32" ht="15.75" customHeight="1"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row>
    <row r="176" spans="1:32" ht="15.75" customHeight="1"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row>
    <row r="177" spans="1:32" ht="15.75" customHeight="1"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row>
    <row r="178" spans="1:32" ht="15.75" customHeight="1"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row>
    <row r="179" spans="1:32" ht="15.75" customHeight="1"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row>
    <row r="180" spans="1:32" ht="15.75" customHeight="1"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row>
    <row r="181" spans="1:32" ht="15.75" customHeight="1"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row>
    <row r="182" spans="1:32" ht="15.75" customHeight="1"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row>
    <row r="183" spans="1:32" ht="15.75" customHeight="1"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row>
    <row r="184" spans="1:32" ht="15.75" customHeight="1"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row>
    <row r="185" spans="1:32" ht="15.75" customHeight="1"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row>
    <row r="186" spans="1:32" ht="15.75" customHeight="1"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row>
    <row r="187" spans="1:32" ht="15.75" customHeight="1"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row>
    <row r="188" spans="1:32" ht="15.75" customHeight="1"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row>
    <row r="189" spans="1:32" ht="15.75" customHeight="1"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row>
    <row r="190" spans="1:32" ht="15.75" customHeight="1"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row>
    <row r="191" spans="1:32" ht="15.75" customHeight="1"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row>
    <row r="192" spans="1:32" ht="15.75" customHeight="1"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row>
    <row r="193" spans="1:32" ht="15.75" customHeight="1"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row>
    <row r="194" spans="1:32" ht="15.75" customHeight="1"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row>
    <row r="195" spans="1:32" ht="15.75" customHeight="1"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row>
    <row r="196" spans="1:32" ht="15.75" customHeight="1"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row>
    <row r="197" spans="1:32" ht="15.75" customHeight="1"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row>
    <row r="198" spans="1:32" ht="15.75" customHeight="1"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row>
    <row r="199" spans="1:32" ht="15.75" customHeight="1"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row>
    <row r="200" spans="1:32" ht="15.75" customHeight="1"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row>
    <row r="201" spans="1:32" ht="15.75" customHeight="1"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row>
    <row r="202" spans="1:32" ht="15.75" customHeight="1"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row>
    <row r="203" spans="1:32" ht="15.75" customHeight="1"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row>
    <row r="204" spans="1:32" ht="15.75" customHeight="1"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row>
    <row r="205" spans="1:32" ht="15.75" customHeight="1"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row>
    <row r="206" spans="1:32" ht="15.75" customHeight="1"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row>
    <row r="207" spans="1:32" ht="15.75" customHeight="1"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row>
    <row r="208" spans="1:32" ht="15.75" customHeight="1"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row>
    <row r="209" spans="1:32" ht="15.75" customHeight="1"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row>
    <row r="210" spans="1:32" ht="15.75" customHeight="1"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row>
    <row r="211" spans="1:32" ht="15.75" customHeight="1"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row>
    <row r="212" spans="1:32" ht="15.75" customHeight="1"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row>
    <row r="213" spans="1:32" ht="15.75" customHeight="1"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row>
    <row r="214" spans="1:32" ht="15.75" customHeight="1"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row>
    <row r="215" spans="1:32" ht="15.75" customHeight="1"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row>
    <row r="216" spans="1:32" ht="15.75" customHeight="1"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row>
    <row r="217" spans="1:32" ht="15.75" customHeight="1"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row>
    <row r="218" spans="1:32" ht="15.75" customHeight="1"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row>
    <row r="219" spans="1:32" ht="15.75" customHeight="1"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row>
    <row r="220" spans="1:32" ht="15.75" customHeight="1"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row>
    <row r="221" spans="1:32" ht="15.75" customHeight="1"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row>
    <row r="222" spans="1:32" ht="15.75" customHeight="1"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row>
    <row r="223" spans="1:32" ht="15.75" customHeight="1"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row>
    <row r="224" spans="1:32" ht="15.75" customHeight="1"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row>
    <row r="225" spans="1:32" ht="15.75" customHeight="1"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row>
    <row r="226" spans="1:32" ht="15.75" customHeight="1"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row>
    <row r="227" spans="1:32" ht="15.75" customHeight="1"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row>
    <row r="228" spans="1:32" ht="15.75" customHeight="1"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row>
    <row r="229" spans="1:32" ht="15.75" customHeight="1"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row>
    <row r="230" spans="1:32" ht="15.75" customHeight="1"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row>
    <row r="231" spans="1:32" ht="15.75" customHeight="1"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row>
    <row r="232" spans="1:32" ht="15.75" customHeight="1"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row>
    <row r="233" spans="1:32" ht="15.75" customHeight="1"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row>
    <row r="234" spans="1:32" ht="15.75" customHeight="1"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row>
    <row r="235" spans="1:32" ht="15.75" customHeight="1"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row>
    <row r="236" spans="1:32" ht="15.75" customHeight="1"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row>
    <row r="237" spans="1:32" ht="15.75" customHeight="1"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row>
    <row r="238" spans="1:32" ht="15.75" customHeight="1"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row>
    <row r="239" spans="1:32" ht="15.75" customHeight="1"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row>
    <row r="240" spans="1:32" ht="15.75" customHeight="1"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row>
    <row r="241" spans="1:32" ht="15.75" customHeight="1"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row>
    <row r="242" spans="1:32" ht="15.75" customHeight="1"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row>
    <row r="243" spans="1:32" ht="15.75" customHeight="1"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row>
    <row r="244" spans="1:32" ht="15.75" customHeight="1"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row>
    <row r="245" spans="1:32" ht="15.75" customHeight="1"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row>
    <row r="246" spans="1:32" ht="15.75" customHeight="1"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row>
    <row r="247" spans="1:32" ht="15.75" customHeight="1"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row>
    <row r="248" spans="1:32" ht="15.75" customHeight="1"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row>
    <row r="249" spans="1:32" ht="15.75" customHeight="1"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row>
    <row r="250" spans="1:32" ht="15.75" customHeight="1"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row>
    <row r="251" spans="1:32" ht="15.75" customHeight="1"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row>
    <row r="252" spans="1:32" ht="15.75" customHeight="1"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row>
    <row r="253" spans="1:32" ht="15.75" customHeight="1"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row>
    <row r="254" spans="1:32" ht="15.75" customHeight="1"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row>
    <row r="255" spans="1:32" ht="15.75" customHeight="1"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row>
    <row r="256" spans="1:32" ht="15.75" customHeight="1"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row>
    <row r="257" spans="1:32" ht="15.75" customHeight="1"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row>
    <row r="258" spans="1:32" ht="15.75" customHeight="1"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row>
    <row r="259" spans="1:32" ht="15.75" customHeight="1"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row>
    <row r="260" spans="1:32" ht="15.75" customHeight="1"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row>
    <row r="261" spans="1:32" ht="15.75" customHeight="1"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row>
    <row r="262" spans="1:32" ht="15.75" customHeight="1"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row>
    <row r="263" spans="1:32" ht="15.75" customHeight="1"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row>
    <row r="264" spans="1:32" ht="15.75" customHeight="1"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row>
    <row r="265" spans="1:32" ht="15.75" customHeight="1"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row>
    <row r="266" spans="1:32" ht="15.75" customHeight="1"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row>
    <row r="267" spans="1:32" ht="15.75" customHeight="1"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row>
    <row r="268" spans="1:32" ht="15.75" customHeight="1"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row>
    <row r="269" spans="1:32" ht="15.75" customHeight="1"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row>
    <row r="270" spans="1:32" ht="15.75" customHeight="1"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row>
    <row r="271" spans="1:32" ht="15.75" customHeight="1"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row>
    <row r="272" spans="1:32" ht="15.75" customHeight="1"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row>
    <row r="273" spans="1:32" ht="15.75" customHeight="1"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row>
    <row r="274" spans="1:32" ht="15.75" customHeight="1"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row>
    <row r="275" spans="1:32" ht="15.75" customHeight="1"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row>
    <row r="276" spans="1:32" ht="15.75" customHeight="1"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row>
    <row r="277" spans="1:32" ht="15.75" customHeight="1"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row>
    <row r="278" spans="1:32" ht="15.75" customHeight="1"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row>
    <row r="279" spans="1:32" ht="15.75" customHeight="1"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row>
    <row r="280" spans="1:32" ht="15.75" customHeight="1"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row>
    <row r="281" spans="1:32" ht="15.75" customHeight="1"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row>
    <row r="282" spans="1:32" ht="15.75" customHeight="1"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row>
    <row r="283" spans="1:32" ht="15.75" customHeight="1"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row>
    <row r="284" spans="1:32" ht="15.75" customHeight="1"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row>
    <row r="285" spans="1:32" ht="15.75" customHeight="1"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row>
    <row r="286" spans="1:32" ht="15.75" customHeight="1"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row>
    <row r="287" spans="1:32" ht="15.75" customHeight="1"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row>
    <row r="288" spans="1:32" ht="15.75" customHeight="1"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row>
    <row r="289" spans="1:32" ht="15.75" customHeight="1"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row>
    <row r="290" spans="1:32" ht="15.75" customHeight="1"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row>
    <row r="291" spans="1:32" ht="15.75" customHeight="1"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row>
    <row r="292" spans="1:32" ht="15.75" customHeight="1"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row>
    <row r="293" spans="1:32" ht="15.75" customHeight="1"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row>
    <row r="294" spans="1:32" ht="15.75" customHeight="1"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row>
    <row r="295" spans="1:32" ht="15.75" customHeight="1"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row>
    <row r="296" spans="1:32" ht="15.75" customHeight="1"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row>
    <row r="297" spans="1:32" ht="15.75" customHeight="1"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row>
    <row r="298" spans="1:32" ht="15.75" customHeight="1"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row>
    <row r="299" spans="1:32" ht="15.75" customHeight="1"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row>
    <row r="300" spans="1:32" ht="15.75" customHeight="1"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row>
    <row r="301" spans="1:32" ht="15.75" customHeight="1"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row>
    <row r="302" spans="1:32" ht="15.75" customHeight="1"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row>
    <row r="303" spans="1:32" ht="15.75" customHeight="1"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row>
    <row r="304" spans="1:32" ht="15.75" customHeight="1"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row>
    <row r="305" spans="1:32" ht="15.75" customHeight="1"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row>
    <row r="306" spans="1:32" ht="15.75" customHeight="1"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row>
    <row r="307" spans="1:32" ht="15.75" customHeight="1"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row>
    <row r="308" spans="1:32" ht="15.75" customHeight="1"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row>
    <row r="309" spans="1:32" ht="15.75" customHeight="1"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row>
    <row r="310" spans="1:32" ht="15.75" customHeight="1"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row>
    <row r="311" spans="1:32" ht="15.75" customHeight="1"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row>
    <row r="312" spans="1:32" ht="15.75" customHeight="1"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row>
    <row r="313" spans="1:32" ht="15.75" customHeight="1"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row>
    <row r="314" spans="1:32" ht="15.75" customHeight="1"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row>
    <row r="315" spans="1:32" ht="15.75" customHeight="1"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row>
    <row r="316" spans="1:32" ht="15.75" customHeight="1"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row>
    <row r="317" spans="1:32" ht="15.75" customHeight="1"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row>
    <row r="318" spans="1:32" ht="15.75" customHeight="1"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row>
    <row r="319" spans="1:32" ht="15.75" customHeight="1"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row>
    <row r="320" spans="1:32" ht="15.75" customHeight="1"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row>
    <row r="321" spans="1:32" ht="15.75" customHeight="1"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row>
    <row r="322" spans="1:32" ht="15.75" customHeight="1"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row>
    <row r="323" spans="1:32" ht="15.75" customHeight="1"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row>
    <row r="324" spans="1:32" ht="15.75" customHeight="1"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row>
    <row r="325" spans="1:32" ht="15.75" customHeight="1"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row>
    <row r="326" spans="1:32" ht="15.75" customHeight="1"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row>
    <row r="327" spans="1:32" ht="15.75" customHeight="1"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row>
    <row r="328" spans="1:32" ht="15.75" customHeight="1"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row>
    <row r="329" spans="1:32" ht="15.75" customHeight="1"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row>
    <row r="330" spans="1:32" ht="15.75" customHeight="1"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row>
    <row r="331" spans="1:32" ht="15.75" customHeight="1"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row>
    <row r="332" spans="1:32" ht="15.75" customHeight="1"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row>
    <row r="333" spans="1:32" ht="15.75" customHeight="1"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row>
    <row r="334" spans="1:32" ht="15.75" customHeight="1"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row>
    <row r="335" spans="1:32" ht="15.75" customHeight="1"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row>
    <row r="336" spans="1:32" ht="15.75" customHeight="1"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row>
    <row r="337" spans="1:32" ht="15.75" customHeight="1"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row>
    <row r="338" spans="1:32" ht="15.75" customHeight="1"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row>
    <row r="339" spans="1:32" ht="15.75" customHeight="1"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row>
    <row r="340" spans="1:32" ht="15.75" customHeight="1"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row>
    <row r="341" spans="1:32" ht="15.75" customHeight="1"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row>
    <row r="342" spans="1:32" ht="15.75" customHeight="1"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row>
    <row r="343" spans="1:32" ht="15.75" customHeight="1"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row>
    <row r="344" spans="1:32" ht="15.75" customHeight="1"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row>
    <row r="345" spans="1:32" ht="15.75" customHeight="1"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row>
    <row r="346" spans="1:32" ht="15.75" customHeight="1"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row>
    <row r="347" spans="1:32" ht="15.75" customHeight="1"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row>
    <row r="348" spans="1:32" ht="15.75" customHeight="1"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row>
    <row r="349" spans="1:32" ht="15.75" customHeight="1"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row>
    <row r="350" spans="1:32" ht="15.75" customHeight="1"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row>
    <row r="351" spans="1:32" ht="15.75" customHeight="1"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row>
    <row r="352" spans="1:32" ht="15.75" customHeight="1"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row>
    <row r="353" spans="1:32" ht="15.75" customHeight="1"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row>
    <row r="354" spans="1:32" ht="15.75" customHeight="1"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row>
    <row r="355" spans="1:32" ht="15.75" customHeight="1"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row>
    <row r="356" spans="1:32" ht="15.75" customHeight="1"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row>
    <row r="357" spans="1:32" ht="15.75" customHeight="1"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row>
    <row r="358" spans="1:32" ht="15.75" customHeight="1"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row>
    <row r="359" spans="1:32" ht="15.75" customHeight="1"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row>
    <row r="360" spans="1:32" ht="15.75" customHeight="1"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row>
    <row r="361" spans="1:32" ht="15.75" customHeight="1"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row>
    <row r="362" spans="1:32" ht="15.75" customHeight="1"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row>
    <row r="363" spans="1:32" ht="15.75" customHeight="1"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row>
    <row r="364" spans="1:32" ht="15.75" customHeight="1"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row>
    <row r="365" spans="1:32" ht="15.75" customHeight="1"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row>
    <row r="366" spans="1:32" ht="15.75" customHeight="1"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row>
    <row r="367" spans="1:32" ht="15.75" customHeight="1"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row>
    <row r="368" spans="1:32" ht="15.75" customHeight="1"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row>
    <row r="369" spans="1:32" ht="15.75" customHeight="1"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row>
    <row r="370" spans="1:32" ht="15.75" customHeight="1"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row>
    <row r="371" spans="1:32" ht="15.75" customHeight="1"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row>
    <row r="372" spans="1:32" ht="15.75" customHeight="1"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row>
    <row r="373" spans="1:32" ht="15.75" customHeight="1"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row>
    <row r="374" spans="1:32" ht="15.75" customHeight="1"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row>
    <row r="375" spans="1:32" ht="15.75" customHeight="1"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row>
    <row r="376" spans="1:32" ht="15.75" customHeight="1"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row>
    <row r="377" spans="1:32" ht="15.75" customHeight="1"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row>
    <row r="378" spans="1:32" ht="15.75" customHeight="1"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row>
    <row r="379" spans="1:32" ht="15.75" customHeight="1"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row>
    <row r="380" spans="1:32" ht="15.75" customHeight="1"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row>
    <row r="381" spans="1:32" ht="15.75" customHeight="1"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row>
    <row r="382" spans="1:32" ht="15.75" customHeight="1"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row>
    <row r="383" spans="1:32" ht="15.75" customHeight="1"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row>
    <row r="384" spans="1:32" ht="15.75" customHeight="1"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row>
    <row r="385" spans="1:32" ht="15.75" customHeight="1"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row>
    <row r="386" spans="1:32" ht="15.75" customHeight="1"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row>
    <row r="387" spans="1:32" ht="15.75" customHeight="1"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row>
    <row r="388" spans="1:32" ht="15.75" customHeight="1"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row>
    <row r="389" spans="1:32" ht="15.75" customHeight="1"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row>
    <row r="390" spans="1:32" ht="15.75" customHeight="1"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row>
    <row r="391" spans="1:32" ht="15.75" customHeight="1"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row>
    <row r="392" spans="1:32" ht="15.75" customHeight="1"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row>
    <row r="393" spans="1:32" ht="15.75" customHeight="1"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row>
    <row r="394" spans="1:32" ht="15.75" customHeight="1"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row>
    <row r="395" spans="1:32" ht="15.75" customHeight="1"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row>
    <row r="396" spans="1:32" ht="15.75" customHeight="1"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row>
    <row r="397" spans="1:32" ht="15.75" customHeight="1"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row>
    <row r="398" spans="1:32" ht="15.75" customHeight="1"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row>
    <row r="399" spans="1:32" ht="15.75" customHeight="1"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row>
    <row r="400" spans="1:32" ht="15.75" customHeight="1"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row>
    <row r="401" spans="1:32" ht="15.75" customHeight="1"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row>
    <row r="402" spans="1:32" ht="15.75" customHeight="1"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row>
    <row r="403" spans="1:32" ht="15.75" customHeight="1"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row>
    <row r="404" spans="1:32" ht="15.75" customHeight="1"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row>
    <row r="405" spans="1:32" ht="15.75" customHeight="1"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row>
    <row r="406" spans="1:32" ht="15.75" customHeight="1"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row>
    <row r="407" spans="1:32" ht="15.75" customHeight="1"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row>
    <row r="408" spans="1:32" ht="15.75" customHeight="1"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row>
    <row r="409" spans="1:32" ht="15.75" customHeight="1"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row>
    <row r="410" spans="1:32" ht="15.75" customHeight="1"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row>
    <row r="411" spans="1:32" ht="15.75" customHeight="1"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row>
    <row r="412" spans="1:32" ht="15.75" customHeight="1"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row>
    <row r="413" spans="1:32" ht="15.75" customHeight="1"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row>
    <row r="414" spans="1:32" ht="15.75" customHeight="1"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row>
    <row r="415" spans="1:32" ht="15.75" customHeight="1"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row>
    <row r="416" spans="1:32" ht="15.75" customHeight="1"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row>
    <row r="417" spans="1:32" ht="15.75" customHeight="1"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row>
    <row r="418" spans="1:32" ht="15.75" customHeight="1"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row>
    <row r="419" spans="1:32" ht="15.75" customHeight="1"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row>
    <row r="420" spans="1:32" ht="15.75" customHeight="1"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row>
    <row r="421" spans="1:32" ht="15.75" customHeight="1"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row>
    <row r="422" spans="1:32" ht="15.75" customHeight="1"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row>
    <row r="423" spans="1:32" ht="15.75" customHeight="1"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row>
    <row r="424" spans="1:32" ht="15.75" customHeight="1"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row>
    <row r="425" spans="1:32" ht="15.75" customHeight="1"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row>
    <row r="426" spans="1:32" ht="15.75" customHeight="1"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row>
    <row r="427" spans="1:32" ht="15.75" customHeight="1"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row>
    <row r="428" spans="1:32" ht="15.75" customHeight="1"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row>
    <row r="429" spans="1:32" ht="15.75" customHeight="1"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row>
    <row r="430" spans="1:32" ht="15.75" customHeight="1"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row>
    <row r="431" spans="1:32" ht="15.75" customHeight="1"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row>
    <row r="432" spans="1:32" ht="15.75" customHeight="1"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row>
    <row r="433" spans="1:32" ht="15.75" customHeight="1"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row>
    <row r="434" spans="1:32" ht="15.75" customHeight="1"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row>
    <row r="435" spans="1:32" ht="15.75" customHeight="1"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row>
    <row r="436" spans="1:32" ht="15.75" customHeight="1"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row>
    <row r="437" spans="1:32" ht="15.75" customHeight="1"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row>
    <row r="438" spans="1:32" ht="15.75" customHeight="1"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row>
    <row r="439" spans="1:32" ht="15.75" customHeight="1"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row>
    <row r="440" spans="1:32" ht="15.75" customHeight="1"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row>
    <row r="441" spans="1:32" ht="15.75" customHeight="1"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row>
    <row r="442" spans="1:32" ht="15.75" customHeight="1"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row>
    <row r="443" spans="1:32" ht="15.75" customHeight="1"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row>
    <row r="444" spans="1:32" ht="15.75" customHeight="1"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row>
    <row r="445" spans="1:32" ht="15.75" customHeight="1"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row>
    <row r="446" spans="1:32" ht="15.75" customHeight="1"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row>
    <row r="447" spans="1:32" ht="15.75" customHeight="1"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row>
    <row r="448" spans="1:32" ht="15.75" customHeight="1"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row>
    <row r="449" spans="1:32" ht="15.75" customHeight="1"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row>
    <row r="450" spans="1:32" ht="15.75" customHeight="1"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row>
    <row r="451" spans="1:32" ht="15.75" customHeight="1"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row>
    <row r="452" spans="1:32" ht="15.75" customHeight="1"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row>
    <row r="453" spans="1:32" ht="15.75" customHeight="1"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row>
    <row r="454" spans="1:32" ht="15.75" customHeight="1"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row>
    <row r="455" spans="1:32" ht="15.75" customHeight="1"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row>
    <row r="456" spans="1:32" ht="15.75" customHeight="1"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row>
    <row r="457" spans="1:32" ht="15.75" customHeight="1"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row>
    <row r="458" spans="1:32" ht="15.75" customHeight="1"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row>
    <row r="459" spans="1:32" ht="15.75" customHeight="1"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row>
    <row r="460" spans="1:32" ht="15.75" customHeight="1"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row>
    <row r="461" spans="1:32" ht="15.75" customHeight="1"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row>
    <row r="462" spans="1:32" ht="15.75" customHeight="1"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row>
    <row r="463" spans="1:32" ht="15.75" customHeight="1"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row>
    <row r="464" spans="1:32" ht="15.75" customHeight="1"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row>
    <row r="465" spans="1:32" ht="15.75" customHeight="1"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row>
    <row r="466" spans="1:32" ht="15.75" customHeight="1"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row>
    <row r="467" spans="1:32" ht="15.75" customHeight="1"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row>
    <row r="468" spans="1:32" ht="15.75" customHeight="1"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row>
    <row r="469" spans="1:32" ht="15.75" customHeight="1"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row>
    <row r="470" spans="1:32" ht="15.75" customHeight="1"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row>
    <row r="471" spans="1:32" ht="15.75" customHeight="1"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row>
    <row r="472" spans="1:32" ht="15.75" customHeight="1"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row>
    <row r="473" spans="1:32" ht="15.75" customHeight="1"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row>
    <row r="474" spans="1:32" ht="15.75" customHeight="1"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row>
    <row r="475" spans="1:32" ht="15.75" customHeight="1"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row>
    <row r="476" spans="1:32" ht="15.75" customHeight="1"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row>
    <row r="477" spans="1:32" ht="15.75" customHeight="1"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row>
    <row r="478" spans="1:32" ht="15.75" customHeight="1"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row>
    <row r="479" spans="1:32" ht="15.75" customHeight="1"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row>
    <row r="480" spans="1:32" ht="15.75" customHeight="1"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row>
    <row r="481" spans="1:32" ht="15.75" customHeight="1"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row>
    <row r="482" spans="1:32" ht="15.75" customHeight="1"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row>
    <row r="483" spans="1:32" ht="15.75" customHeight="1"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row>
    <row r="484" spans="1:32" ht="15.75" customHeight="1"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row>
    <row r="485" spans="1:32" ht="15.75" customHeight="1"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row>
    <row r="486" spans="1:32" ht="15.75" customHeight="1"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row>
    <row r="487" spans="1:32" ht="15.75" customHeight="1"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row>
    <row r="488" spans="1:32" ht="15.75" customHeight="1"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row>
    <row r="489" spans="1:32" ht="15.75" customHeight="1"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row>
    <row r="490" spans="1:32" ht="15.75" customHeight="1"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row>
    <row r="491" spans="1:32" ht="15.75" customHeight="1"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row>
    <row r="492" spans="1:32" ht="15.75" customHeight="1"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row>
    <row r="493" spans="1:32" ht="15.75" customHeight="1"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row>
    <row r="494" spans="1:32" ht="15.75" customHeight="1"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row>
    <row r="495" spans="1:32" ht="15.75" customHeight="1"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row>
    <row r="496" spans="1:32" ht="15.75" customHeight="1"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row>
    <row r="497" spans="1:32" ht="15.75" customHeight="1"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row>
    <row r="498" spans="1:32" ht="15.75" customHeight="1"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row>
    <row r="499" spans="1:32" ht="15.75" customHeight="1"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row>
    <row r="500" spans="1:32" ht="15.75" customHeight="1"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row>
    <row r="501" spans="1:32" ht="15.75" customHeight="1"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row>
    <row r="502" spans="1:32" ht="15.75" customHeight="1"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row>
    <row r="503" spans="1:32" ht="15.75" customHeight="1"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row>
    <row r="504" spans="1:32" ht="15.75" customHeight="1"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row>
    <row r="505" spans="1:32" ht="15.75" customHeight="1"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row>
    <row r="506" spans="1:32" ht="15.75" customHeight="1"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row>
    <row r="507" spans="1:32" ht="15.75" customHeight="1"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row>
    <row r="508" spans="1:32" ht="15.75" customHeight="1"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row>
    <row r="509" spans="1:32" ht="15.75" customHeight="1"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row>
    <row r="510" spans="1:32" ht="15.75" customHeight="1"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row>
    <row r="511" spans="1:32" ht="15.75" customHeight="1"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row>
    <row r="512" spans="1:32" ht="15.75" customHeight="1"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row>
    <row r="513" spans="1:32" ht="15.75" customHeight="1"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row>
    <row r="514" spans="1:32" ht="15.75" customHeight="1"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row>
    <row r="515" spans="1:32" ht="15.75" customHeight="1"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row>
    <row r="516" spans="1:32" ht="15.75" customHeight="1"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row>
    <row r="517" spans="1:32" ht="15.75" customHeight="1"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row>
    <row r="518" spans="1:32" ht="15.75" customHeight="1"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row>
    <row r="519" spans="1:32" ht="15.75" customHeight="1"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row>
    <row r="520" spans="1:32" ht="15.75" customHeight="1"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row>
    <row r="521" spans="1:32" ht="15.75" customHeight="1"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row>
    <row r="522" spans="1:32" ht="15.75" customHeight="1"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row>
    <row r="523" spans="1:32" ht="15.75" customHeight="1"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row>
    <row r="524" spans="1:32" ht="15.75" customHeight="1"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row>
    <row r="525" spans="1:32" ht="15.75" customHeight="1"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row>
    <row r="526" spans="1:32" ht="15.75" customHeight="1"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row>
    <row r="527" spans="1:32" ht="15.75" customHeight="1"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row>
    <row r="528" spans="1:32" ht="15.75" customHeight="1"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row>
    <row r="529" spans="1:32" ht="15.75" customHeight="1"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row>
    <row r="530" spans="1:32" ht="15.75" customHeight="1"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row>
    <row r="531" spans="1:32" ht="15.75" customHeight="1"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row>
    <row r="532" spans="1:32" ht="15.75" customHeight="1"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row>
    <row r="533" spans="1:32" ht="15.75" customHeight="1"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row>
    <row r="534" spans="1:32" ht="15.75" customHeight="1"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row>
    <row r="535" spans="1:32" ht="15.75" customHeight="1"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row>
    <row r="536" spans="1:32" ht="15.75" customHeight="1"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row>
    <row r="537" spans="1:32" ht="15.75" customHeight="1"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row>
    <row r="538" spans="1:32" ht="15.75" customHeight="1"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row>
    <row r="539" spans="1:32" ht="15.75" customHeight="1"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row>
    <row r="540" spans="1:32" ht="15.75" customHeight="1"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row>
    <row r="541" spans="1:32" ht="15.75" customHeight="1"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row>
    <row r="542" spans="1:32" ht="15.75" customHeight="1"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row>
    <row r="543" spans="1:32" ht="15.75" customHeight="1"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row>
    <row r="544" spans="1:32" ht="15.75" customHeight="1"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row>
    <row r="545" spans="1:32" ht="15.75" customHeight="1"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row>
    <row r="546" spans="1:32" ht="15.75" customHeight="1"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row>
    <row r="547" spans="1:32" ht="15.75" customHeight="1"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row>
    <row r="548" spans="1:32" ht="15.75" customHeight="1"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row>
    <row r="549" spans="1:32" ht="15.75" customHeight="1"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row>
    <row r="550" spans="1:32" ht="15.75" customHeight="1"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row>
    <row r="551" spans="1:32" ht="15.75" customHeight="1"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row>
    <row r="552" spans="1:32" ht="15.75" customHeight="1"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row>
    <row r="553" spans="1:32" ht="15.75" customHeight="1"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row>
    <row r="554" spans="1:32" ht="15.75" customHeight="1"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row>
    <row r="555" spans="1:32" ht="15.75" customHeight="1"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row>
    <row r="556" spans="1:32" ht="15.75" customHeight="1"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row>
    <row r="557" spans="1:32" ht="15.75" customHeight="1"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row>
    <row r="558" spans="1:32" ht="15.75" customHeight="1"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row>
    <row r="559" spans="1:32" ht="15.75" customHeight="1"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row>
    <row r="560" spans="1:32" ht="15.75" customHeight="1"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row>
    <row r="561" spans="1:32" ht="15.75" customHeight="1"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row>
    <row r="562" spans="1:32" ht="15.75" customHeight="1"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row>
    <row r="563" spans="1:32" ht="15.75" customHeight="1"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row>
    <row r="564" spans="1:32" ht="15.75" customHeight="1"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row>
    <row r="565" spans="1:32" ht="15.75" customHeight="1"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row>
    <row r="566" spans="1:32" ht="15.75" customHeight="1"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row>
    <row r="567" spans="1:32" ht="15.75" customHeight="1"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row>
    <row r="568" spans="1:32" ht="15.75" customHeight="1"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row>
    <row r="569" spans="1:32" ht="15.75" customHeight="1"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row>
    <row r="570" spans="1:32" ht="15.75" customHeight="1"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row>
    <row r="571" spans="1:32" ht="15.75" customHeight="1"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row>
    <row r="572" spans="1:32" ht="15.75" customHeight="1"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row>
    <row r="573" spans="1:32" ht="15.75" customHeight="1"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row>
    <row r="574" spans="1:32" ht="15.75" customHeight="1"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row>
    <row r="575" spans="1:32" ht="15.75" customHeight="1"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row>
    <row r="576" spans="1:32" ht="15.75" customHeight="1"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row>
    <row r="577" spans="1:32" ht="15.75" customHeight="1"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row>
    <row r="578" spans="1:32" ht="15.75" customHeight="1"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row>
    <row r="579" spans="1:32" ht="15.75" customHeight="1"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row>
    <row r="580" spans="1:32" ht="15.75" customHeight="1"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row>
    <row r="581" spans="1:32" ht="15.75" customHeight="1"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row>
    <row r="582" spans="1:32" ht="15.75" customHeight="1"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row>
    <row r="583" spans="1:32" ht="15.75" customHeight="1"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row>
    <row r="584" spans="1:32" ht="15.75" customHeight="1"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row>
    <row r="585" spans="1:32" ht="15.75" customHeight="1"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row>
    <row r="586" spans="1:32" ht="15.75" customHeight="1"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row>
    <row r="587" spans="1:32" ht="15.75" customHeight="1"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row>
    <row r="588" spans="1:32" ht="15.75" customHeight="1"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row>
    <row r="589" spans="1:32" ht="15.75" customHeight="1"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row>
    <row r="590" spans="1:32" ht="15.75" customHeight="1"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row>
    <row r="591" spans="1:32" ht="15.75" customHeight="1"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row>
    <row r="592" spans="1:32" ht="15.75" customHeight="1"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row>
    <row r="593" spans="1:32" ht="15.75" customHeight="1"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row>
    <row r="594" spans="1:32" ht="15.75" customHeight="1"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row>
    <row r="595" spans="1:32" ht="15.75" customHeight="1"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row>
    <row r="596" spans="1:32" ht="15.75" customHeight="1"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row>
    <row r="597" spans="1:32" ht="15.75" customHeight="1"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row>
    <row r="598" spans="1:32" ht="15.75" customHeight="1"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row>
    <row r="599" spans="1:32" ht="15.75" customHeight="1"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row>
    <row r="600" spans="1:32" ht="15.75" customHeight="1"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row>
    <row r="601" spans="1:32" ht="15.75" customHeight="1"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row>
    <row r="602" spans="1:32" ht="15.75" customHeight="1"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row>
    <row r="603" spans="1:32" ht="15.75" customHeight="1"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row>
    <row r="604" spans="1:32" ht="15.75" customHeight="1"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row>
    <row r="605" spans="1:32" ht="15.75" customHeight="1"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row>
    <row r="606" spans="1:32" ht="15.75" customHeight="1"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row>
    <row r="607" spans="1:32" ht="15.75" customHeight="1"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row>
    <row r="608" spans="1:32" ht="15.75" customHeight="1"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row>
    <row r="609" spans="1:32" ht="15.75" customHeight="1"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row>
    <row r="610" spans="1:32" ht="15.75" customHeight="1"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row>
    <row r="611" spans="1:32" ht="15.75" customHeight="1"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row>
    <row r="612" spans="1:32" ht="15.75" customHeight="1"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row>
    <row r="613" spans="1:32" ht="15.75" customHeight="1"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row>
    <row r="614" spans="1:32" ht="15.75" customHeight="1"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row>
    <row r="615" spans="1:32" ht="15.75" customHeight="1"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row>
    <row r="616" spans="1:32" ht="15.75" customHeight="1"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row>
    <row r="617" spans="1:32" ht="15.75" customHeight="1"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row>
    <row r="618" spans="1:32" ht="15.75" customHeight="1"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row>
    <row r="619" spans="1:32" ht="15.75" customHeight="1"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row>
    <row r="620" spans="1:32" ht="15.75" customHeight="1"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row>
    <row r="621" spans="1:32" ht="15.75" customHeight="1"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row>
    <row r="622" spans="1:32" ht="15.75" customHeight="1"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row>
    <row r="623" spans="1:32" ht="15.75" customHeight="1"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row>
    <row r="624" spans="1:32" ht="15.75" customHeight="1"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row>
    <row r="625" spans="1:32" ht="15.75" customHeight="1"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row>
    <row r="626" spans="1:32" ht="15.75" customHeight="1"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row>
    <row r="627" spans="1:32" ht="15.75" customHeight="1"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row>
    <row r="628" spans="1:32" ht="15.75" customHeight="1"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row>
    <row r="629" spans="1:32" ht="15.75" customHeight="1"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row>
    <row r="630" spans="1:32" ht="15.75" customHeight="1"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row>
    <row r="631" spans="1:32" ht="15.75" customHeight="1"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row>
    <row r="632" spans="1:32" ht="15.75" customHeight="1"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row>
    <row r="633" spans="1:32" ht="15.75" customHeight="1"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row>
    <row r="634" spans="1:32" ht="15.75" customHeight="1"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row>
    <row r="635" spans="1:32" ht="15.75" customHeight="1"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row>
    <row r="636" spans="1:32" ht="15.75" customHeight="1"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row>
    <row r="637" spans="1:32" ht="15.75" customHeight="1"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row>
    <row r="638" spans="1:32" ht="15.75" customHeight="1"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row>
    <row r="639" spans="1:32" ht="15.75" customHeight="1"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row>
    <row r="640" spans="1:32" ht="15.75" customHeight="1"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row>
    <row r="641" spans="1:32" ht="15.75" customHeight="1"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row>
    <row r="642" spans="1:32" ht="15.75" customHeight="1"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row>
    <row r="643" spans="1:32" ht="15.75" customHeight="1"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row>
    <row r="644" spans="1:32" ht="15.75" customHeight="1"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row>
    <row r="645" spans="1:32" ht="15.75" customHeight="1"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row>
    <row r="646" spans="1:32" ht="15.75" customHeight="1"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row>
    <row r="647" spans="1:32" ht="15.75" customHeight="1"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row>
    <row r="648" spans="1:32" ht="15.75" customHeight="1"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row>
    <row r="649" spans="1:32" ht="15.75" customHeight="1"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row>
    <row r="650" spans="1:32" ht="15.75" customHeight="1"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row>
    <row r="651" spans="1:32" ht="15.75" customHeight="1"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row>
    <row r="652" spans="1:32" ht="15.75" customHeight="1"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row>
    <row r="653" spans="1:32" ht="15.75" customHeight="1"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row>
    <row r="654" spans="1:32" ht="15.75" customHeight="1"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row>
    <row r="655" spans="1:32" ht="15.75" customHeight="1"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row>
    <row r="656" spans="1:32" ht="15.75" customHeight="1"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row>
    <row r="657" spans="1:32" ht="15.75" customHeight="1"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row>
    <row r="658" spans="1:32" ht="15.75" customHeight="1"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row>
    <row r="659" spans="1:32" ht="15.75" customHeight="1"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row>
    <row r="660" spans="1:32" ht="15.75" customHeight="1"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row>
    <row r="661" spans="1:32" ht="15.75" customHeight="1"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row>
    <row r="662" spans="1:32" ht="15.75" customHeight="1"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row>
    <row r="663" spans="1:32" ht="15.75" customHeight="1"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row>
    <row r="664" spans="1:32" ht="15.75" customHeight="1"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row>
    <row r="665" spans="1:32" ht="15.75" customHeight="1"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row>
    <row r="666" spans="1:32" ht="15.75" customHeight="1"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row>
    <row r="667" spans="1:32" ht="15.75" customHeight="1"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row>
    <row r="668" spans="1:32" ht="15.75" customHeight="1"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row>
    <row r="669" spans="1:32" ht="15.75" customHeight="1"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row>
    <row r="670" spans="1:32" ht="15.75" customHeight="1"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row>
    <row r="671" spans="1:32" ht="15.75" customHeight="1"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row>
    <row r="672" spans="1:32" ht="15.75" customHeight="1"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row>
    <row r="673" spans="1:32" ht="15.75" customHeight="1"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row>
    <row r="674" spans="1:32" ht="15.75" customHeight="1"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row>
    <row r="675" spans="1:32" ht="15.75" customHeight="1"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row>
    <row r="676" spans="1:32" ht="15.75" customHeight="1"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row>
    <row r="677" spans="1:32" ht="15.75" customHeight="1"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row>
    <row r="678" spans="1:32" ht="15.75" customHeight="1"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row>
    <row r="679" spans="1:32" ht="15.75" customHeight="1"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row>
    <row r="680" spans="1:32" ht="15.75" customHeight="1"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row>
    <row r="681" spans="1:32" ht="15.75" customHeight="1"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row>
    <row r="682" spans="1:32" ht="15.75" customHeight="1"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row>
    <row r="683" spans="1:32" ht="15.75" customHeight="1"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row>
    <row r="684" spans="1:32" ht="15.75" customHeight="1"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row>
    <row r="685" spans="1:32" ht="15.75" customHeight="1"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row>
    <row r="686" spans="1:32" ht="15.75" customHeight="1"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row>
    <row r="687" spans="1:32" ht="15.75" customHeight="1"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row>
    <row r="688" spans="1:32" ht="15.75" customHeight="1"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row>
    <row r="689" spans="1:32" ht="15.75" customHeight="1"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row>
    <row r="690" spans="1:32" ht="15.75" customHeight="1"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row>
    <row r="691" spans="1:32" ht="15.75" customHeight="1"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row>
    <row r="692" spans="1:32" ht="15.75" customHeight="1"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row>
    <row r="693" spans="1:32" ht="15.75" customHeight="1"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row>
    <row r="694" spans="1:32" ht="15.75" customHeight="1"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row>
    <row r="695" spans="1:32" ht="15.75" customHeight="1"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row>
    <row r="696" spans="1:32" ht="15.75" customHeight="1"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row>
    <row r="697" spans="1:32" ht="15.75" customHeight="1"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row>
    <row r="698" spans="1:32" ht="15.75" customHeight="1"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row>
    <row r="699" spans="1:32" ht="15.75" customHeight="1"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row>
    <row r="700" spans="1:32" ht="15.75" customHeight="1"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row>
    <row r="701" spans="1:32" ht="15.75" customHeight="1"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row>
    <row r="702" spans="1:32" ht="15.75" customHeight="1"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row>
    <row r="703" spans="1:32" ht="15.75" customHeight="1"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row>
    <row r="704" spans="1:32" ht="15.75" customHeight="1"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row>
    <row r="705" spans="1:32" ht="15.75" customHeight="1"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row>
    <row r="706" spans="1:32" ht="15.75" customHeight="1"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row>
    <row r="707" spans="1:32" ht="15.75" customHeight="1"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row>
    <row r="708" spans="1:32" ht="15.75" customHeight="1"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row>
    <row r="709" spans="1:32" ht="15.75" customHeight="1"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row>
    <row r="710" spans="1:32" ht="15.75" customHeight="1"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row>
    <row r="711" spans="1:32" ht="15.75" customHeight="1"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row>
    <row r="712" spans="1:32" ht="15.75" customHeight="1"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row>
    <row r="713" spans="1:32" ht="15.75" customHeight="1"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row>
    <row r="714" spans="1:32" ht="15.75" customHeight="1"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row>
    <row r="715" spans="1:32" ht="15.75" customHeight="1"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row>
    <row r="716" spans="1:32" ht="15.75" customHeight="1"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row>
    <row r="717" spans="1:32" ht="15.75" customHeight="1"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row>
    <row r="718" spans="1:32" ht="15.75" customHeight="1"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row>
    <row r="719" spans="1:32" ht="15.75" customHeight="1"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row>
    <row r="720" spans="1:32" ht="15.75" customHeight="1"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row>
    <row r="721" spans="1:32" ht="15.75" customHeight="1"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row>
    <row r="722" spans="1:32" ht="15.75" customHeight="1"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row>
    <row r="723" spans="1:32" ht="15.75" customHeight="1"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row>
    <row r="724" spans="1:32" ht="15.75" customHeight="1"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row>
    <row r="725" spans="1:32" ht="15.75" customHeight="1"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row>
    <row r="726" spans="1:32" ht="15.75" customHeight="1"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row>
    <row r="727" spans="1:32" ht="15.75" customHeight="1"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row>
    <row r="728" spans="1:32" ht="15.75" customHeight="1"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row>
    <row r="729" spans="1:32" ht="15.75" customHeight="1"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row>
    <row r="730" spans="1:32" ht="15.75" customHeight="1"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row>
    <row r="731" spans="1:32" ht="15.75" customHeight="1"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row>
    <row r="732" spans="1:32" ht="15.75" customHeight="1"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row>
    <row r="733" spans="1:32" ht="15.75" customHeight="1"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row>
    <row r="734" spans="1:32" ht="15.75" customHeight="1"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row>
    <row r="735" spans="1:32" ht="15.75" customHeight="1"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row>
    <row r="736" spans="1:32" ht="15.75" customHeight="1"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row>
    <row r="737" spans="1:32" ht="15.75" customHeight="1"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row>
    <row r="738" spans="1:32" ht="15.75" customHeight="1"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row>
    <row r="739" spans="1:32" ht="15.75" customHeight="1"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row>
    <row r="740" spans="1:32" ht="15.75" customHeight="1"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row>
    <row r="741" spans="1:32" ht="15.75" customHeight="1"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row>
    <row r="742" spans="1:32" ht="15.75" customHeight="1"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row>
    <row r="743" spans="1:32" ht="15.75" customHeight="1"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row>
    <row r="744" spans="1:32" ht="15.75" customHeight="1"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row>
    <row r="745" spans="1:32" ht="15.75" customHeight="1"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row>
    <row r="746" spans="1:32" ht="15.75" customHeight="1"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row>
    <row r="747" spans="1:32" ht="15.75" customHeight="1"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row>
    <row r="748" spans="1:32" ht="15.75" customHeight="1"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row>
    <row r="749" spans="1:32" ht="15.75" customHeight="1"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row>
    <row r="750" spans="1:32" ht="15.75" customHeight="1"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row>
    <row r="751" spans="1:32" ht="15.75" customHeight="1"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row>
    <row r="752" spans="1:32" ht="15.75" customHeight="1"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row>
    <row r="753" spans="1:32" ht="15.75" customHeight="1"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row>
    <row r="754" spans="1:32" ht="15.75" customHeight="1"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row>
    <row r="755" spans="1:32" ht="15.75" customHeight="1"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row>
    <row r="756" spans="1:32" ht="15.75" customHeight="1"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row>
    <row r="757" spans="1:32" ht="15.75" customHeight="1"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row>
    <row r="758" spans="1:32" ht="15.75" customHeight="1"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row>
    <row r="759" spans="1:32" ht="15.75" customHeight="1"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row>
    <row r="760" spans="1:32" ht="15.75" customHeight="1"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row>
    <row r="761" spans="1:32" ht="15.75" customHeight="1"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row>
    <row r="762" spans="1:32" ht="15.75" customHeight="1"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row>
    <row r="763" spans="1:32" ht="15.75" customHeight="1"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row>
    <row r="764" spans="1:32" ht="15.75" customHeight="1"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row>
    <row r="765" spans="1:32" ht="15.75" customHeight="1"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row>
    <row r="766" spans="1:32" ht="15.75" customHeight="1"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row>
    <row r="767" spans="1:32" ht="15.75" customHeight="1"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row>
    <row r="768" spans="1:32" ht="15.75" customHeight="1"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row>
    <row r="769" spans="1:32" ht="15.75" customHeight="1"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row>
    <row r="770" spans="1:32" ht="15.75" customHeight="1"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row>
    <row r="771" spans="1:32" ht="15.75" customHeight="1"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row>
    <row r="772" spans="1:32" ht="15.75" customHeight="1"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row>
    <row r="773" spans="1:32" ht="15.75" customHeight="1"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row>
    <row r="774" spans="1:32" ht="15.75" customHeight="1"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row>
    <row r="775" spans="1:32" ht="15.75" customHeight="1"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row>
    <row r="776" spans="1:32" ht="15.75" customHeight="1"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row>
    <row r="777" spans="1:32" ht="15.75" customHeight="1"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row>
    <row r="778" spans="1:32" ht="15.75" customHeight="1"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row>
    <row r="779" spans="1:32" ht="15.75" customHeight="1"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row>
    <row r="780" spans="1:32" ht="15.75" customHeight="1"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row>
    <row r="781" spans="1:32" ht="15.75" customHeight="1"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row>
    <row r="782" spans="1:32" ht="15.75" customHeight="1"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row>
    <row r="783" spans="1:32" ht="15.75" customHeight="1"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row>
    <row r="784" spans="1:32" ht="15.75" customHeight="1"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row>
    <row r="785" spans="1:32" ht="15.75" customHeight="1"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row>
    <row r="786" spans="1:32" ht="15.75" customHeight="1"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row>
    <row r="787" spans="1:32" ht="15.75" customHeight="1"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row>
    <row r="788" spans="1:32" ht="15.75" customHeight="1"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row>
    <row r="789" spans="1:32" ht="15.75" customHeight="1"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row>
    <row r="790" spans="1:32" ht="15.75" customHeight="1"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row>
    <row r="791" spans="1:32" ht="15.75" customHeight="1"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row>
    <row r="792" spans="1:32" ht="15.75" customHeight="1"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row>
    <row r="793" spans="1:32" ht="15.75" customHeight="1"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row>
    <row r="794" spans="1:32" ht="15.75" customHeight="1"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row>
    <row r="795" spans="1:32" ht="15.75" customHeight="1"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row>
    <row r="796" spans="1:32" ht="15.75" customHeight="1"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row>
    <row r="797" spans="1:32" ht="15.75" customHeight="1"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row>
    <row r="798" spans="1:32" ht="15.75" customHeight="1"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row>
    <row r="799" spans="1:32" ht="15.75" customHeight="1"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row>
    <row r="800" spans="1:32" ht="15.75" customHeight="1"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row>
    <row r="801" spans="1:32" ht="15.75" customHeight="1"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row>
    <row r="802" spans="1:32" ht="15.75" customHeight="1"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row>
    <row r="803" spans="1:32" ht="15.75" customHeight="1"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row>
    <row r="804" spans="1:32" ht="15.75" customHeight="1"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row>
    <row r="805" spans="1:32" ht="15.75" customHeight="1"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row>
    <row r="806" spans="1:32" ht="15.75" customHeight="1"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row>
    <row r="807" spans="1:32" ht="15.75" customHeight="1"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row>
    <row r="808" spans="1:32" ht="15.75" customHeight="1"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row>
    <row r="809" spans="1:32" ht="15.75" customHeight="1"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row>
    <row r="810" spans="1:32" ht="15.75" customHeight="1"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row>
    <row r="811" spans="1:32" ht="15.75" customHeight="1"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row>
    <row r="812" spans="1:32" ht="15.75" customHeight="1"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row>
    <row r="813" spans="1:32" ht="15.75" customHeight="1"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row>
    <row r="814" spans="1:32" ht="15.75" customHeight="1"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row>
    <row r="815" spans="1:32" ht="15.75" customHeight="1"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row>
    <row r="816" spans="1:32" ht="15.75" customHeight="1"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row>
    <row r="817" spans="1:32" ht="15.75" customHeight="1"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row>
    <row r="818" spans="1:32" ht="15.75" customHeight="1"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row>
    <row r="819" spans="1:32" ht="15.75" customHeight="1"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row>
    <row r="820" spans="1:32" ht="15.75" customHeight="1"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row>
    <row r="821" spans="1:32" ht="15.75" customHeight="1"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row>
    <row r="822" spans="1:32" ht="15.75" customHeight="1"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row>
    <row r="823" spans="1:32" ht="15.75" customHeight="1"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row>
    <row r="824" spans="1:32" ht="15.75" customHeight="1"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row>
    <row r="825" spans="1:32" ht="15.75" customHeight="1"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row>
    <row r="826" spans="1:32" ht="15.75" customHeight="1"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row>
    <row r="827" spans="1:32" ht="15.75" customHeight="1"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row>
    <row r="828" spans="1:32" ht="15.75" customHeight="1"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row>
    <row r="829" spans="1:32" ht="15.75" customHeight="1"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row>
    <row r="830" spans="1:32" ht="15.75" customHeight="1"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row>
    <row r="831" spans="1:32" ht="15.75" customHeight="1"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row>
    <row r="832" spans="1:32" ht="15.75" customHeight="1"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row>
    <row r="833" spans="1:32" ht="15.75" customHeight="1"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row>
    <row r="834" spans="1:32" ht="15.75" customHeight="1"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row>
    <row r="835" spans="1:32" ht="15.75" customHeight="1"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row>
    <row r="836" spans="1:32" ht="15.75" customHeight="1"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row>
    <row r="837" spans="1:32" ht="15.75" customHeight="1"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row>
    <row r="838" spans="1:32" ht="15.75" customHeight="1"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row>
    <row r="839" spans="1:32" ht="15.75" customHeight="1"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row>
    <row r="840" spans="1:32" ht="15.75" customHeight="1"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row>
    <row r="841" spans="1:32" ht="15.75" customHeight="1"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row>
    <row r="842" spans="1:32" ht="15.75" customHeight="1"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row>
    <row r="843" spans="1:32" ht="15.75" customHeight="1"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row>
    <row r="844" spans="1:32" ht="15.75" customHeight="1"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row>
    <row r="845" spans="1:32" ht="15.75" customHeight="1"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row>
    <row r="846" spans="1:32" ht="15.75" customHeight="1"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row>
    <row r="847" spans="1:32" ht="15.75" customHeight="1"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row>
    <row r="848" spans="1:32" ht="15.75" customHeight="1"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row>
    <row r="849" spans="1:32" ht="15.75" customHeight="1"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row>
    <row r="850" spans="1:32" ht="15.75" customHeight="1"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row>
    <row r="851" spans="1:32" ht="15.75" customHeight="1"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row>
    <row r="852" spans="1:32" ht="15.75" customHeight="1"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row>
    <row r="853" spans="1:32" ht="15.75" customHeight="1"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row>
    <row r="854" spans="1:32" ht="15.75" customHeight="1"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row>
    <row r="855" spans="1:32" ht="15.75" customHeight="1"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row>
    <row r="856" spans="1:32" ht="15.75" customHeight="1"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row>
    <row r="857" spans="1:32" ht="15.75" customHeight="1"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row>
    <row r="858" spans="1:32" ht="15.75" customHeight="1"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row>
    <row r="859" spans="1:32" ht="15.75" customHeight="1"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row>
    <row r="860" spans="1:32" ht="15.75" customHeight="1"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row>
    <row r="861" spans="1:32" ht="15.75" customHeight="1"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row>
    <row r="862" spans="1:32" ht="15.75" customHeight="1"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row>
    <row r="863" spans="1:32" ht="15.75" customHeight="1"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row>
    <row r="864" spans="1:32" ht="15.75" customHeight="1"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row>
    <row r="865" spans="1:32" ht="15.75" customHeight="1"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row>
    <row r="866" spans="1:32" ht="15.75" customHeight="1"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row>
    <row r="867" spans="1:32" ht="15.75" customHeight="1"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row>
    <row r="868" spans="1:32" ht="15.75" customHeight="1"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row>
    <row r="869" spans="1:32" ht="15.75" customHeight="1"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row>
    <row r="870" spans="1:32" ht="15.75" customHeight="1"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row>
    <row r="871" spans="1:32" ht="15.75" customHeight="1"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row>
    <row r="872" spans="1:32" ht="15.75" customHeight="1"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row>
    <row r="873" spans="1:32" ht="15.75" customHeight="1"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row>
    <row r="874" spans="1:32" ht="15.75" customHeight="1"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row>
    <row r="875" spans="1:32" ht="15.75" customHeight="1"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row>
    <row r="876" spans="1:32" ht="15.75" customHeight="1"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row>
    <row r="877" spans="1:32" ht="15.75" customHeight="1"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row>
    <row r="878" spans="1:32" ht="15.75" customHeight="1"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row>
    <row r="879" spans="1:32" ht="15.75" customHeight="1"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row>
    <row r="880" spans="1:32" ht="15.75" customHeight="1"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row>
    <row r="881" spans="1:32" ht="15.75" customHeight="1"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row>
    <row r="882" spans="1:32" ht="15.75" customHeight="1"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row>
    <row r="883" spans="1:32" ht="15.75" customHeight="1"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row>
    <row r="884" spans="1:32" ht="15.75" customHeight="1"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row>
    <row r="885" spans="1:32" ht="15.75" customHeight="1"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row>
    <row r="886" spans="1:32" ht="15.75" customHeight="1"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row>
    <row r="887" spans="1:32" ht="15.75" customHeight="1"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row>
    <row r="888" spans="1:32" ht="15.75" customHeight="1"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row>
    <row r="889" spans="1:32" ht="15.75" customHeight="1"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row>
    <row r="890" spans="1:32" ht="15.75" customHeight="1"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row>
    <row r="891" spans="1:32" ht="15.75" customHeight="1"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row>
    <row r="892" spans="1:32" ht="15.75" customHeight="1"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row>
    <row r="893" spans="1:32" ht="15.75" customHeight="1"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row>
    <row r="894" spans="1:32" ht="15.75" customHeight="1"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row>
    <row r="895" spans="1:32" ht="15.75" customHeight="1"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row>
    <row r="896" spans="1:32" ht="15.75" customHeight="1"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row>
    <row r="897" spans="1:32" ht="15.75" customHeight="1"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row>
    <row r="898" spans="1:32" ht="15.75" customHeight="1"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row>
    <row r="899" spans="1:32" ht="15.75" customHeight="1"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row>
    <row r="900" spans="1:32" ht="15.75" customHeight="1"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row>
    <row r="901" spans="1:32" ht="15.75" customHeight="1"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row>
    <row r="902" spans="1:32" ht="15.75" customHeight="1"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row>
    <row r="903" spans="1:32" ht="15.75" customHeight="1"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row>
    <row r="904" spans="1:32" ht="15.75" customHeight="1"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row>
    <row r="905" spans="1:32" ht="15.75" customHeight="1"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row>
    <row r="906" spans="1:32" ht="15.75" customHeight="1"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row>
    <row r="907" spans="1:32" ht="15.75" customHeight="1"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row>
    <row r="908" spans="1:32" ht="15.75" customHeight="1"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row>
    <row r="909" spans="1:32" ht="15.75" customHeight="1"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row>
    <row r="910" spans="1:32" ht="15.75" customHeight="1"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row>
    <row r="911" spans="1:32" ht="15.75" customHeight="1"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row>
    <row r="912" spans="1:32" ht="15.75" customHeight="1"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row>
    <row r="913" spans="1:32" ht="15.75" customHeight="1"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row>
    <row r="914" spans="1:32" ht="15.75" customHeight="1"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row>
    <row r="915" spans="1:32" ht="15.75" customHeight="1"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row>
    <row r="916" spans="1:32" ht="15.75" customHeight="1"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row>
    <row r="917" spans="1:32" ht="15.75" customHeight="1"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row>
    <row r="918" spans="1:32" ht="15.75" customHeight="1"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row>
    <row r="919" spans="1:32" ht="15.75" customHeight="1"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row>
    <row r="920" spans="1:32" ht="15.75" customHeight="1"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row>
    <row r="921" spans="1:32" ht="15.75" customHeight="1"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row>
    <row r="922" spans="1:32" ht="15.75" customHeight="1"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row>
    <row r="923" spans="1:32" ht="15.75" customHeight="1"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row>
    <row r="924" spans="1:32" ht="15.75" customHeight="1"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row>
    <row r="925" spans="1:32" ht="15.75" customHeight="1"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row>
    <row r="926" spans="1:32" ht="15.75" customHeight="1"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row>
    <row r="927" spans="1:32" ht="15.75" customHeight="1"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row>
    <row r="928" spans="1:32" ht="15.75" customHeight="1"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row>
    <row r="929" spans="1:32" ht="15.75" customHeight="1"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row>
    <row r="930" spans="1:32" ht="15.75" customHeight="1"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row>
    <row r="931" spans="1:32" ht="15.75" customHeight="1"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row>
    <row r="932" spans="1:32" ht="15.75" customHeight="1"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row>
    <row r="933" spans="1:32" ht="15.75" customHeight="1"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row>
    <row r="934" spans="1:32" ht="15.75" customHeight="1"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row>
    <row r="935" spans="1:32" ht="15.75" customHeight="1"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row>
    <row r="936" spans="1:32" ht="15.75" customHeight="1"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row>
    <row r="937" spans="1:32" ht="15.75" customHeight="1"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row>
    <row r="938" spans="1:32" ht="15.75" customHeight="1"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row>
    <row r="939" spans="1:32" ht="15.75" customHeight="1"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row>
    <row r="940" spans="1:32" ht="15.75" customHeight="1"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row>
    <row r="941" spans="1:32" ht="15.75" customHeight="1"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row>
    <row r="942" spans="1:32" ht="15.75" customHeight="1"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row>
    <row r="943" spans="1:32" ht="15.75" customHeight="1"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row>
    <row r="944" spans="1:32" ht="15.75" customHeight="1"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row>
    <row r="945" spans="1:32" ht="15.75" customHeight="1"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row>
    <row r="946" spans="1:32" ht="15.75" customHeight="1"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row>
    <row r="947" spans="1:32" ht="15.75" customHeight="1"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row>
    <row r="948" spans="1:32" ht="15.75" customHeight="1"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row>
    <row r="949" spans="1:32" ht="15.75" customHeight="1"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row>
    <row r="950" spans="1:32" ht="15.75" customHeight="1"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row>
    <row r="951" spans="1:32" ht="15.75" customHeight="1"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row>
    <row r="952" spans="1:32" ht="15.75" customHeight="1"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row>
    <row r="953" spans="1:32" ht="15.75" customHeight="1"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row>
    <row r="954" spans="1:32" ht="15.75" customHeight="1"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row>
    <row r="955" spans="1:32" ht="15.75" customHeight="1"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row>
    <row r="956" spans="1:32" ht="15.75" customHeight="1"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row>
    <row r="957" spans="1:32" ht="15.75" customHeight="1"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row>
    <row r="958" spans="1:32" ht="15.75" customHeight="1"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row>
    <row r="959" spans="1:32" ht="15.75" customHeight="1"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row>
    <row r="960" spans="1:32" ht="15.75" customHeight="1"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row>
    <row r="961" spans="1:32" ht="15.75" customHeight="1"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row>
    <row r="962" spans="1:32" ht="15.75" customHeight="1"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row>
    <row r="963" spans="1:32" ht="15.75" customHeight="1"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row>
    <row r="964" spans="1:32" ht="15.75" customHeight="1"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row>
    <row r="965" spans="1:32" ht="15.75" customHeight="1"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row>
    <row r="966" spans="1:32" ht="15.75" customHeight="1"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row>
    <row r="967" spans="1:32" ht="15.75" customHeight="1"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row>
    <row r="968" spans="1:32" ht="15.75" customHeight="1"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row>
    <row r="969" spans="1:32" ht="15.75" customHeight="1"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row>
    <row r="970" spans="1:32" ht="15.75" customHeight="1"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row>
    <row r="971" spans="1:32" ht="15.75" customHeight="1"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row>
    <row r="972" spans="1:32" ht="15.75" customHeight="1"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row>
    <row r="973" spans="1:32" ht="15.75" customHeight="1"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row>
    <row r="974" spans="1:32" ht="15.75" customHeight="1"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row>
    <row r="975" spans="1:32" ht="15.75" customHeight="1"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row>
    <row r="976" spans="1:32" ht="15.75" customHeight="1"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row>
    <row r="977" spans="1:32" ht="15.75" customHeight="1"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row>
    <row r="978" spans="1:32" ht="15.75" customHeight="1"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row>
    <row r="979" spans="1:32" ht="15.75" customHeight="1"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row>
    <row r="980" spans="1:32" ht="15.75" customHeight="1"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row>
    <row r="981" spans="1:32" ht="15.75" customHeight="1"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row>
    <row r="982" spans="1:32" ht="15.75" customHeight="1"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row>
    <row r="983" spans="1:32" ht="15.75" customHeight="1"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row>
    <row r="984" spans="1:32" ht="15.75" customHeight="1"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row>
    <row r="985" spans="1:32" ht="15.75" customHeight="1"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row>
    <row r="986" spans="1:32" ht="15.75" customHeight="1"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row>
    <row r="987" spans="1:32" ht="15.75" customHeight="1"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row>
    <row r="988" spans="1:32" ht="15.75" customHeight="1"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row>
    <row r="989" spans="1:32" ht="15.75" customHeight="1"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row>
    <row r="990" spans="1:32" ht="15.75" customHeight="1"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row>
    <row r="991" spans="1:32" ht="15.75" customHeight="1"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row>
    <row r="992" spans="1:32" ht="15.75" customHeight="1"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row>
    <row r="993" spans="1:32" ht="15.75" customHeight="1"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row>
    <row r="994" spans="1:32" ht="15.75" customHeight="1"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row>
    <row r="995" spans="1:32" ht="15.75" customHeight="1"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row>
    <row r="996" spans="1:32" ht="15.75" customHeight="1"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row>
    <row r="997" spans="1:32" ht="15.75" customHeight="1"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c r="AB997" s="2"/>
      <c r="AC997" s="2"/>
      <c r="AD997" s="2"/>
      <c r="AE997" s="2"/>
      <c r="AF997" s="2"/>
    </row>
    <row r="998" spans="1:32" ht="15.75" customHeight="1"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c r="AB998" s="2"/>
      <c r="AC998" s="2"/>
      <c r="AD998" s="2"/>
      <c r="AE998" s="2"/>
      <c r="AF998" s="2"/>
    </row>
    <row r="999" spans="1:32" ht="15.75" customHeight="1"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c r="AB999" s="2"/>
      <c r="AC999" s="2"/>
      <c r="AD999" s="2"/>
      <c r="AE999" s="2"/>
      <c r="AF999" s="2"/>
    </row>
    <row r="1000" spans="1:32" ht="15.75" customHeight="1"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c r="AB1000" s="2"/>
      <c r="AC1000" s="2"/>
      <c r="AD1000" s="2"/>
      <c r="AE1000" s="2"/>
      <c r="AF1000" s="2"/>
    </row>
  </sheetData>
  <mergeCells count="128">
    <mergeCell ref="B2:AD3"/>
    <mergeCell ref="F5:L5"/>
    <mergeCell ref="R5:V5"/>
    <mergeCell ref="Z5:AB5"/>
    <mergeCell ref="F7:V7"/>
    <mergeCell ref="Z7:AB7"/>
    <mergeCell ref="B9:AD9"/>
    <mergeCell ref="F11:I11"/>
    <mergeCell ref="J11:M11"/>
    <mergeCell ref="F12:M13"/>
    <mergeCell ref="N12:S13"/>
    <mergeCell ref="AA10:AD11"/>
    <mergeCell ref="AB12:AB15"/>
    <mergeCell ref="AC12:AC15"/>
    <mergeCell ref="AD12:AD15"/>
    <mergeCell ref="B10:E14"/>
    <mergeCell ref="F10:I10"/>
    <mergeCell ref="J10:M10"/>
    <mergeCell ref="N10:P11"/>
    <mergeCell ref="Q10:X11"/>
    <mergeCell ref="Y10:Z11"/>
    <mergeCell ref="T12:AA13"/>
    <mergeCell ref="B15:E15"/>
    <mergeCell ref="B16:AD16"/>
    <mergeCell ref="B17:AD17"/>
    <mergeCell ref="C18:E18"/>
    <mergeCell ref="C19:E19"/>
    <mergeCell ref="C20:E20"/>
    <mergeCell ref="C21:E21"/>
    <mergeCell ref="C22:E22"/>
    <mergeCell ref="C23:E23"/>
    <mergeCell ref="C24:E24"/>
    <mergeCell ref="C25:E25"/>
    <mergeCell ref="C26:E26"/>
    <mergeCell ref="C27:E27"/>
    <mergeCell ref="C28:E28"/>
    <mergeCell ref="C76:E76"/>
    <mergeCell ref="C77:E77"/>
    <mergeCell ref="C78:E78"/>
    <mergeCell ref="C79:E79"/>
    <mergeCell ref="C80:E80"/>
    <mergeCell ref="C29:E29"/>
    <mergeCell ref="C30:E30"/>
    <mergeCell ref="C31:E31"/>
    <mergeCell ref="C32:E32"/>
    <mergeCell ref="C33:E33"/>
    <mergeCell ref="C34:E34"/>
    <mergeCell ref="C35:E35"/>
    <mergeCell ref="C36:E36"/>
    <mergeCell ref="C37:E37"/>
    <mergeCell ref="C38:E38"/>
    <mergeCell ref="C39:E39"/>
    <mergeCell ref="C40:E40"/>
    <mergeCell ref="C41:E41"/>
    <mergeCell ref="C42:E42"/>
    <mergeCell ref="C43:E43"/>
    <mergeCell ref="C81:E81"/>
    <mergeCell ref="C82:E82"/>
    <mergeCell ref="C83:E83"/>
    <mergeCell ref="C84:E84"/>
    <mergeCell ref="C85:E85"/>
    <mergeCell ref="C86:E86"/>
    <mergeCell ref="C87:E87"/>
    <mergeCell ref="C88:E88"/>
    <mergeCell ref="C89:E89"/>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04:E104"/>
    <mergeCell ref="C105:E105"/>
    <mergeCell ref="C106:E106"/>
    <mergeCell ref="C107:E107"/>
    <mergeCell ref="C108:E108"/>
    <mergeCell ref="C109:E109"/>
    <mergeCell ref="C110:E110"/>
    <mergeCell ref="C118:E118"/>
    <mergeCell ref="C119:E119"/>
    <mergeCell ref="C120:E120"/>
    <mergeCell ref="C111:E111"/>
    <mergeCell ref="C112:E112"/>
    <mergeCell ref="C113:E113"/>
    <mergeCell ref="C114:E114"/>
    <mergeCell ref="C115:E115"/>
    <mergeCell ref="C116:E116"/>
    <mergeCell ref="C117:E117"/>
    <mergeCell ref="C44:E44"/>
    <mergeCell ref="C45:E45"/>
    <mergeCell ref="C46:E46"/>
    <mergeCell ref="C47:E47"/>
    <mergeCell ref="C48:E48"/>
    <mergeCell ref="C49:E49"/>
    <mergeCell ref="C50:E50"/>
    <mergeCell ref="C51:E51"/>
    <mergeCell ref="C52:E52"/>
    <mergeCell ref="C69:E69"/>
    <mergeCell ref="C70:E70"/>
    <mergeCell ref="C71:E71"/>
    <mergeCell ref="C72:E72"/>
    <mergeCell ref="C73:E73"/>
    <mergeCell ref="C74:E74"/>
    <mergeCell ref="C75:E75"/>
    <mergeCell ref="C53:E53"/>
    <mergeCell ref="C54:E54"/>
    <mergeCell ref="C55:E55"/>
    <mergeCell ref="C56:E56"/>
    <mergeCell ref="C64:E64"/>
    <mergeCell ref="C65:E65"/>
    <mergeCell ref="C66:E66"/>
    <mergeCell ref="C67:E67"/>
    <mergeCell ref="B68:AD68"/>
    <mergeCell ref="C57:E57"/>
    <mergeCell ref="C58:E58"/>
    <mergeCell ref="C59:E59"/>
    <mergeCell ref="C60:E60"/>
    <mergeCell ref="C61:E61"/>
    <mergeCell ref="C62:E62"/>
    <mergeCell ref="C63:E63"/>
  </mergeCells>
  <dataValidations count="12">
    <dataValidation type="custom" allowBlank="1" showInputMessage="1" showErrorMessage="1" prompt="Score Entry - Enter learners' raw scores." sqref="V18:V67 V69:V118" xr:uid="{00000000-0002-0000-0300-000000000000}">
      <formula1>V18&lt;=$V$15</formula1>
    </dataValidation>
    <dataValidation type="custom" allowBlank="1" showInputMessage="1" showErrorMessage="1" prompt="Score Entry - Enter learners' raw scores." sqref="I18:I67 I69:I118" xr:uid="{00000000-0002-0000-0300-000001000000}">
      <formula1>I18&lt;=$I$15</formula1>
    </dataValidation>
    <dataValidation type="custom" allowBlank="1" showInputMessage="1" showErrorMessage="1" prompt="Score Entry - Enter learners' raw scores." sqref="J18:J67 J69:J118" xr:uid="{00000000-0002-0000-0300-000002000000}">
      <formula1>J18&lt;=$J$15</formula1>
    </dataValidation>
    <dataValidation type="custom" allowBlank="1" showInputMessage="1" showErrorMessage="1" prompt="Score Entry - Enter learners' raw scores." sqref="P18:P67 P69:P118" xr:uid="{00000000-0002-0000-0300-000003000000}">
      <formula1>P18&lt;=$P$15</formula1>
    </dataValidation>
    <dataValidation type="custom" allowBlank="1" showInputMessage="1" showErrorMessage="1" prompt="Score Entry - Enter learners' raw scores." sqref="F18:F67 F69:F118" xr:uid="{00000000-0002-0000-0300-000004000000}">
      <formula1>F18&lt;=$F$15</formula1>
    </dataValidation>
    <dataValidation type="custom" allowBlank="1" showInputMessage="1" showErrorMessage="1" prompt="Score Entry - Enter learners' raw scores." sqref="N18:N67 N69:N118" xr:uid="{00000000-0002-0000-0300-000005000000}">
      <formula1>N18&lt;=$N$15</formula1>
    </dataValidation>
    <dataValidation type="custom" allowBlank="1" showInputMessage="1" showErrorMessage="1" prompt="Score Entry - Enter learners' raw scores." sqref="H18:H67 H69:H118" xr:uid="{00000000-0002-0000-0300-000006000000}">
      <formula1>H18&lt;=$H$15</formula1>
    </dataValidation>
    <dataValidation type="custom" allowBlank="1" showInputMessage="1" showErrorMessage="1" prompt="Score Entry - Enter learners' raw scores." sqref="T18:T67 T69:T118" xr:uid="{00000000-0002-0000-0300-000007000000}">
      <formula1>T18&lt;=$T$15</formula1>
    </dataValidation>
    <dataValidation type="custom" allowBlank="1" showInputMessage="1" showErrorMessage="1" prompt="Score Entry - Enter learners' raw scores." sqref="U18:U67 U69:U118" xr:uid="{00000000-0002-0000-0300-000008000000}">
      <formula1>U18&lt;=$U$15</formula1>
    </dataValidation>
    <dataValidation type="decimal" allowBlank="1" showInputMessage="1" showErrorMessage="1" prompt="Highest Possible Score - Enter HPS." sqref="F15:J15 N15:P15 T15:V15" xr:uid="{00000000-0002-0000-0300-000009000000}">
      <formula1>0</formula1>
      <formula2>1000</formula2>
    </dataValidation>
    <dataValidation type="custom" allowBlank="1" showInputMessage="1" showErrorMessage="1" prompt="Score Entry - Enter learners' raw scores." sqref="G18:G67 G69:G118" xr:uid="{00000000-0002-0000-0300-00000A000000}">
      <formula1>G18&lt;=$G$15</formula1>
    </dataValidation>
    <dataValidation type="custom" allowBlank="1" showInputMessage="1" showErrorMessage="1" prompt="Score Entry - Enter learners' raw scores." sqref="O18:O67 O69:O118" xr:uid="{00000000-0002-0000-0300-00000B000000}">
      <formula1>O18&lt;=$O$15</formula1>
    </dataValidation>
  </dataValidations>
  <pageMargins left="0.23622047244094491" right="0.23622047244094491" top="0.39370078740157483" bottom="0.39370078740157483" header="0" footer="0"/>
  <pageSetup paperSize="9" fitToHeight="0"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B050"/>
    <outlinePr summaryBelow="0" summaryRight="0"/>
    <pageSetUpPr fitToPage="1"/>
  </sheetPr>
  <dimension ref="A1:R1000"/>
  <sheetViews>
    <sheetView showGridLines="0" tabSelected="1" workbookViewId="0">
      <pane ySplit="12" topLeftCell="A66" activePane="bottomLeft" state="frozen"/>
      <selection pane="bottomLeft" activeCell="K91" sqref="K91"/>
    </sheetView>
  </sheetViews>
  <sheetFormatPr baseColWidth="10" defaultColWidth="12.6640625" defaultRowHeight="15" customHeight="1" x14ac:dyDescent="0.15"/>
  <cols>
    <col min="1" max="2" width="3.83203125" customWidth="1"/>
    <col min="3" max="5" width="12.6640625" customWidth="1"/>
    <col min="6" max="8" width="15.1640625" customWidth="1"/>
    <col min="9" max="9" width="17.83203125" customWidth="1"/>
    <col min="10" max="10" width="21.5" customWidth="1"/>
    <col min="11" max="11" width="17.33203125" customWidth="1"/>
    <col min="12" max="12" width="3.83203125" customWidth="1"/>
    <col min="14" max="14" width="16.33203125" customWidth="1"/>
  </cols>
  <sheetData>
    <row r="1" spans="1:18" ht="15.75" customHeight="1" x14ac:dyDescent="0.3">
      <c r="A1" s="1"/>
      <c r="L1" s="3"/>
      <c r="M1" s="3"/>
    </row>
    <row r="2" spans="1:18" ht="15.75" customHeight="1" x14ac:dyDescent="0.15">
      <c r="B2" s="255" t="s">
        <v>41</v>
      </c>
      <c r="C2" s="194"/>
      <c r="D2" s="194"/>
      <c r="E2" s="194"/>
      <c r="F2" s="194"/>
      <c r="G2" s="194"/>
      <c r="H2" s="194"/>
      <c r="I2" s="194"/>
      <c r="J2" s="194"/>
      <c r="K2" s="194"/>
      <c r="L2" s="3"/>
      <c r="M2" s="3"/>
    </row>
    <row r="3" spans="1:18" ht="15.75" customHeight="1" x14ac:dyDescent="0.15">
      <c r="B3" s="194"/>
      <c r="C3" s="194"/>
      <c r="D3" s="194"/>
      <c r="E3" s="194"/>
      <c r="F3" s="194"/>
      <c r="G3" s="194"/>
      <c r="H3" s="194"/>
      <c r="I3" s="194"/>
      <c r="J3" s="194"/>
      <c r="K3" s="194"/>
      <c r="L3" s="3"/>
      <c r="M3" s="3"/>
    </row>
    <row r="4" spans="1:18" ht="15.75" customHeight="1" x14ac:dyDescent="0.15">
      <c r="L4" s="3"/>
      <c r="M4" s="3"/>
    </row>
    <row r="5" spans="1:18" ht="15.75" customHeight="1" x14ac:dyDescent="0.15">
      <c r="A5" s="3"/>
      <c r="B5" s="3"/>
      <c r="C5" s="92" t="s">
        <v>4</v>
      </c>
      <c r="D5" s="231" t="str">
        <f>IF('INPUT DATA'!E10="","",'INPUT DATA'!E10)</f>
      </c>
      <c r="E5" s="197"/>
      <c r="F5" s="92" t="s">
        <v>8</v>
      </c>
      <c r="G5" s="231" t="str">
        <f>IF('INPUT DATA'!E11="","",'INPUT DATA'!E11)</f>
      </c>
      <c r="H5" s="197"/>
      <c r="I5" s="92" t="s">
        <v>9</v>
      </c>
      <c r="J5" s="231">
        <f>IF('INPUT DATA'!E13="","",'INPUT DATA'!E13)</f>
      </c>
      <c r="K5" s="197"/>
      <c r="L5" s="3"/>
      <c r="M5" s="3"/>
    </row>
    <row r="6" spans="1:18" ht="15.75" customHeight="1" x14ac:dyDescent="0.15">
      <c r="A6" s="3"/>
      <c r="B6" s="3"/>
      <c r="C6" s="92" t="s">
        <v>10</v>
      </c>
      <c r="D6" s="231" t="str">
        <f>IF('INPUT DATA'!E14="","",'INPUT DATA'!E14)</f>
      </c>
      <c r="E6" s="196"/>
      <c r="F6" s="196"/>
      <c r="G6" s="196"/>
      <c r="H6" s="197"/>
      <c r="I6" s="92" t="s">
        <v>11</v>
      </c>
      <c r="J6" s="231" t="str">
        <f>IF('INPUT DATA'!E15="","",'INPUT DATA'!E15)</f>
      </c>
      <c r="K6" s="197"/>
      <c r="L6" s="3"/>
      <c r="M6" s="3"/>
    </row>
    <row r="7" spans="1:18" ht="15.75" customHeight="1" x14ac:dyDescent="0.2">
      <c r="A7" s="3"/>
      <c r="B7" s="3"/>
      <c r="C7" s="7"/>
      <c r="D7" s="93"/>
      <c r="E7" s="3"/>
      <c r="F7" s="3"/>
      <c r="G7" s="3"/>
      <c r="H7" s="3"/>
      <c r="I7" s="7"/>
      <c r="J7" s="94"/>
      <c r="K7" s="3"/>
      <c r="L7" s="3"/>
      <c r="M7" s="3"/>
    </row>
    <row r="8" spans="1:18" ht="15.75" customHeight="1" x14ac:dyDescent="0.15">
      <c r="A8" s="3"/>
      <c r="B8" s="256"/>
      <c r="C8" s="221"/>
      <c r="D8" s="221"/>
      <c r="E8" s="221"/>
      <c r="F8" s="221"/>
      <c r="G8" s="221"/>
      <c r="H8" s="221"/>
      <c r="I8" s="221"/>
      <c r="J8" s="221"/>
      <c r="K8" s="257"/>
      <c r="L8" s="3"/>
      <c r="M8" s="3"/>
    </row>
    <row r="9" spans="1:18" ht="15.75" customHeight="1" x14ac:dyDescent="0.15">
      <c r="A9" s="3"/>
      <c r="B9" s="230" t="s">
        <v>15</v>
      </c>
      <c r="C9" s="197"/>
      <c r="D9" s="231">
        <f>IF('INPUT DATA'!E25="","",'INPUT DATA'!E25)</f>
      </c>
      <c r="E9" s="196"/>
      <c r="F9" s="196"/>
      <c r="G9" s="197"/>
      <c r="H9" s="95" t="s">
        <v>18</v>
      </c>
      <c r="I9" s="231" t="str">
        <f>IF('INPUT DATA'!E24="","",'INPUT DATA'!E24)</f>
      </c>
      <c r="J9" s="196"/>
      <c r="K9" s="197"/>
      <c r="L9" s="3"/>
      <c r="M9" s="3"/>
    </row>
    <row r="10" spans="1:18" ht="15.75" customHeight="1" x14ac:dyDescent="0.15">
      <c r="A10" s="3"/>
      <c r="B10" s="230" t="s">
        <v>19</v>
      </c>
      <c r="C10" s="197"/>
      <c r="D10" s="253" t="str">
        <f>IF('INPUT DATA'!E26="","",'INPUT DATA'!E26)</f>
      </c>
      <c r="E10" s="188"/>
      <c r="F10" s="188"/>
      <c r="G10" s="189"/>
      <c r="H10" s="96" t="s">
        <v>17</v>
      </c>
      <c r="I10" s="231" t="str">
        <f>IF('INPUT DATA'!E23="","",'INPUT DATA'!E23)</f>
      </c>
      <c r="J10" s="196"/>
      <c r="K10" s="197"/>
      <c r="L10" s="3"/>
      <c r="M10" s="3"/>
    </row>
    <row r="11" spans="1:18" ht="15.75" customHeight="1" x14ac:dyDescent="0.15">
      <c r="A11" s="3"/>
      <c r="B11" s="254" t="s">
        <v>3</v>
      </c>
      <c r="C11" s="201"/>
      <c r="D11" s="201"/>
      <c r="E11" s="201"/>
      <c r="F11" s="258" t="s">
        <v>42</v>
      </c>
      <c r="G11" s="196"/>
      <c r="H11" s="197"/>
      <c r="I11" s="259" t="s">
        <v>43</v>
      </c>
      <c r="J11" s="260" t="s">
        <v>44</v>
      </c>
      <c r="K11" s="260" t="s">
        <v>45</v>
      </c>
      <c r="L11" s="3"/>
      <c r="M11" s="3"/>
      <c r="N11" s="2"/>
      <c r="O11" s="2"/>
      <c r="P11" s="2"/>
      <c r="Q11" s="2"/>
      <c r="R11" s="2"/>
    </row>
    <row r="12" spans="1:18" ht="15.75" customHeight="1" x14ac:dyDescent="0.15">
      <c r="A12" s="3"/>
      <c r="B12" s="203"/>
      <c r="C12" s="204"/>
      <c r="D12" s="204"/>
      <c r="E12" s="204"/>
      <c r="F12" s="97" t="s">
        <v>46</v>
      </c>
      <c r="G12" s="97" t="s">
        <v>47</v>
      </c>
      <c r="H12" s="97" t="s">
        <v>48</v>
      </c>
      <c r="I12" s="205"/>
      <c r="J12" s="212"/>
      <c r="K12" s="212"/>
      <c r="L12" s="3"/>
      <c r="M12" s="3"/>
      <c r="N12" s="2"/>
      <c r="O12" s="2"/>
      <c r="P12" s="2"/>
      <c r="Q12" s="2"/>
      <c r="R12" s="2"/>
    </row>
    <row r="13" spans="1:18" ht="15.75" customHeight="1" x14ac:dyDescent="0.15">
      <c r="A13" s="3"/>
      <c r="B13" s="251" t="s">
        <v>6</v>
      </c>
      <c r="C13" s="196"/>
      <c r="D13" s="196"/>
      <c r="E13" s="196"/>
      <c r="F13" s="196"/>
      <c r="G13" s="196"/>
      <c r="H13" s="196"/>
      <c r="I13" s="196"/>
      <c r="J13" s="196"/>
      <c r="K13" s="197"/>
      <c r="L13" s="3"/>
      <c r="M13" s="3"/>
      <c r="N13" s="252"/>
      <c r="O13" s="194"/>
      <c r="P13" s="194"/>
      <c r="Q13" s="194"/>
      <c r="R13" s="2"/>
    </row>
    <row r="14" spans="1:18" ht="15" customHeight="1" x14ac:dyDescent="0.15">
      <c r="A14" s="3"/>
      <c r="B14" s="100">
        <v>1</v>
      </c>
      <c r="C14" s="246" t="str">
        <f>IF('INPUT DATA'!K11="","",'INPUT DATA'!K11)</f>
      </c>
      <c r="D14" s="185"/>
      <c r="E14" s="186"/>
      <c r="F14" s="101">
        <f>IF('TERM 1'!AC18="","",'TERM 1'!AC18)</f>
      </c>
      <c r="G14" s="102" t="str">
        <f>IF('TERM 2'!AC18="","",'TERM 2'!AC18)</f>
      </c>
      <c r="H14" s="103" t="str">
        <f>IF('TERM 3'!AC18="","",'TERM 3'!AC18)</f>
      </c>
      <c r="I14" s="104" t="str">
        <f t="shared" ref="I14:I63" si="0">IF(COUNT(F14,G14,H14)&lt;3,"",ROUND(AVERAGE(F14,G14,H14),0))</f>
      </c>
      <c r="J14" s="105" t="str">
        <f t="array" ref="J14">IF(I14="","",IFERROR(INDEX(HELPER!$G$8:$G$48,MATCH(I14,HELPER!$F$8:$F$48,-1)),""))</f>
      </c>
      <c r="K14" s="68" t="str">
        <f t="shared" ref="K14:K63" si="1">IF(I14="", "", IF(I14&gt;=75, "Passed", "Failed"))</f>
      </c>
      <c r="L14" s="3"/>
      <c r="M14" s="3"/>
      <c r="N14" s="106"/>
      <c r="O14" s="99"/>
      <c r="P14" s="99"/>
      <c r="Q14" s="99"/>
      <c r="R14" s="2"/>
    </row>
    <row r="15" spans="1:18" ht="15" customHeight="1" x14ac:dyDescent="0.15">
      <c r="A15" s="3"/>
      <c r="B15" s="69">
        <v>2</v>
      </c>
      <c r="C15" s="246" t="str">
        <f>IF('INPUT DATA'!K12="","",'INPUT DATA'!K12)</f>
      </c>
      <c r="D15" s="185"/>
      <c r="E15" s="186"/>
      <c r="F15" s="107">
        <f>IF('TERM 1'!AC19="","",'TERM 1'!AC19)</f>
      </c>
      <c r="G15" s="107" t="str">
        <f>IF('TERM 2'!AC19="","",'TERM 2'!AC19)</f>
      </c>
      <c r="H15" s="108" t="str">
        <f>IF('TERM 3'!AC19="","",'TERM 3'!AC19)</f>
      </c>
      <c r="I15" s="109" t="str">
        <f t="shared" si="0"/>
      </c>
      <c r="J15" s="110" t="str">
        <f t="array" ref="J15">IF(I15="","",IFERROR(INDEX(HELPER!$G$8:$G$48,MATCH(I15,HELPER!$F$8:$F$48,-1)),""))</f>
      </c>
      <c r="K15" s="82" t="str">
        <f t="shared" si="1"/>
      </c>
      <c r="L15" s="3"/>
      <c r="M15" s="3"/>
      <c r="N15" s="111"/>
      <c r="O15" s="2"/>
      <c r="P15" s="2"/>
      <c r="Q15" s="2"/>
      <c r="R15" s="2"/>
    </row>
    <row r="16" spans="1:18" ht="15" customHeight="1" x14ac:dyDescent="0.15">
      <c r="A16" s="3"/>
      <c r="B16" s="69">
        <v>3</v>
      </c>
      <c r="C16" s="246" t="str">
        <f>IF('INPUT DATA'!K13="","",'INPUT DATA'!K13)</f>
      </c>
      <c r="D16" s="185"/>
      <c r="E16" s="186"/>
      <c r="F16" s="107">
        <f>IF('TERM 1'!AC20="","",'TERM 1'!AC20)</f>
      </c>
      <c r="G16" s="107" t="str">
        <f>IF('TERM 2'!AC20="","",'TERM 2'!AC20)</f>
      </c>
      <c r="H16" s="108" t="str">
        <f>IF('TERM 3'!AC20="","",'TERM 3'!AC20)</f>
      </c>
      <c r="I16" s="109" t="str">
        <f t="shared" si="0"/>
      </c>
      <c r="J16" s="110" t="str">
        <f t="array" ref="J16">IF(I16="","",IFERROR(INDEX(HELPER!$G$8:$G$48,MATCH(I16,HELPER!$F$8:$F$48,-1)),""))</f>
      </c>
      <c r="K16" s="82" t="str">
        <f t="shared" si="1"/>
      </c>
      <c r="L16" s="3"/>
      <c r="M16" s="3"/>
      <c r="N16" s="111"/>
      <c r="O16" s="2"/>
      <c r="P16" s="2"/>
      <c r="Q16" s="2"/>
      <c r="R16" s="2"/>
    </row>
    <row r="17" spans="1:18" ht="15" customHeight="1" x14ac:dyDescent="0.15">
      <c r="A17" s="3"/>
      <c r="B17" s="69">
        <v>4</v>
      </c>
      <c r="C17" s="246" t="str">
        <f>IF('INPUT DATA'!K14="","",'INPUT DATA'!K14)</f>
      </c>
      <c r="D17" s="185"/>
      <c r="E17" s="186"/>
      <c r="F17" s="107">
        <f>IF('TERM 1'!AC21="","",'TERM 1'!AC21)</f>
      </c>
      <c r="G17" s="107" t="str">
        <f>IF('TERM 2'!AC21="","",'TERM 2'!AC21)</f>
      </c>
      <c r="H17" s="108" t="str">
        <f>IF('TERM 3'!AC21="","",'TERM 3'!AC21)</f>
      </c>
      <c r="I17" s="109" t="str">
        <f t="shared" si="0"/>
      </c>
      <c r="J17" s="110" t="str">
        <f t="array" ref="J17">IF(I17="","",IFERROR(INDEX(HELPER!$G$8:$G$48,MATCH(I17,HELPER!$F$8:$F$48,-1)),""))</f>
      </c>
      <c r="K17" s="82" t="str">
        <f t="shared" si="1"/>
      </c>
      <c r="L17" s="3"/>
      <c r="M17" s="3"/>
      <c r="N17" s="111"/>
      <c r="O17" s="2"/>
      <c r="P17" s="2"/>
      <c r="Q17" s="2"/>
      <c r="R17" s="2"/>
    </row>
    <row r="18" spans="1:18" ht="15" customHeight="1" x14ac:dyDescent="0.15">
      <c r="A18" s="3"/>
      <c r="B18" s="69">
        <v>5</v>
      </c>
      <c r="C18" s="246" t="str">
        <f>IF('INPUT DATA'!K15="","",'INPUT DATA'!K15)</f>
      </c>
      <c r="D18" s="185"/>
      <c r="E18" s="186"/>
      <c r="F18" s="107">
        <f>IF('TERM 1'!AC22="","",'TERM 1'!AC22)</f>
      </c>
      <c r="G18" s="107" t="str">
        <f>IF('TERM 2'!AC22="","",'TERM 2'!AC22)</f>
      </c>
      <c r="H18" s="108" t="str">
        <f>IF('TERM 3'!AC22="","",'TERM 3'!AC22)</f>
      </c>
      <c r="I18" s="109" t="str">
        <f t="shared" si="0"/>
      </c>
      <c r="J18" s="110" t="str">
        <f t="array" ref="J18">IF(I18="","",IFERROR(INDEX(HELPER!$G$8:$G$48,MATCH(I18,HELPER!$F$8:$F$48,-1)),""))</f>
      </c>
      <c r="K18" s="82" t="str">
        <f t="shared" si="1"/>
      </c>
      <c r="L18" s="3"/>
      <c r="M18" s="3"/>
      <c r="N18" s="111"/>
      <c r="O18" s="2"/>
      <c r="P18" s="2"/>
      <c r="Q18" s="2"/>
      <c r="R18" s="2"/>
    </row>
    <row r="19" spans="1:18" ht="15" customHeight="1" x14ac:dyDescent="0.15">
      <c r="A19" s="3"/>
      <c r="B19" s="69">
        <v>6</v>
      </c>
      <c r="C19" s="246" t="str">
        <f>IF('INPUT DATA'!K16="","",'INPUT DATA'!K16)</f>
      </c>
      <c r="D19" s="185"/>
      <c r="E19" s="186"/>
      <c r="F19" s="107">
        <f>IF('TERM 1'!AC23="","",'TERM 1'!AC23)</f>
      </c>
      <c r="G19" s="107" t="str">
        <f>IF('TERM 2'!AC23="","",'TERM 2'!AC23)</f>
      </c>
      <c r="H19" s="108" t="str">
        <f>IF('TERM 3'!AC23="","",'TERM 3'!AC23)</f>
      </c>
      <c r="I19" s="109" t="str">
        <f t="shared" si="0"/>
      </c>
      <c r="J19" s="110" t="str">
        <f t="array" ref="J19">IF(I19="","",IFERROR(INDEX(HELPER!$G$8:$G$48,MATCH(I19,HELPER!$F$8:$F$48,-1)),""))</f>
      </c>
      <c r="K19" s="82" t="str">
        <f t="shared" si="1"/>
      </c>
      <c r="L19" s="3"/>
      <c r="M19" s="3"/>
      <c r="N19" s="111"/>
      <c r="O19" s="2"/>
      <c r="P19" s="2"/>
      <c r="Q19" s="2"/>
      <c r="R19" s="2"/>
    </row>
    <row r="20" spans="1:18" ht="15" customHeight="1" x14ac:dyDescent="0.15">
      <c r="A20" s="3"/>
      <c r="B20" s="69">
        <v>7</v>
      </c>
      <c r="C20" s="246" t="str">
        <f>IF('INPUT DATA'!K17="","",'INPUT DATA'!K17)</f>
      </c>
      <c r="D20" s="185"/>
      <c r="E20" s="186"/>
      <c r="F20" s="107">
        <f>IF('TERM 1'!AC24="","",'TERM 1'!AC24)</f>
      </c>
      <c r="G20" s="107" t="str">
        <f>IF('TERM 2'!AC24="","",'TERM 2'!AC24)</f>
      </c>
      <c r="H20" s="108" t="str">
        <f>IF('TERM 3'!AC24="","",'TERM 3'!AC24)</f>
      </c>
      <c r="I20" s="109" t="str">
        <f t="shared" si="0"/>
      </c>
      <c r="J20" s="110" t="str">
        <f t="array" ref="J20">IF(I20="","",IFERROR(INDEX(HELPER!$G$8:$G$48,MATCH(I20,HELPER!$F$8:$F$48,-1)),""))</f>
      </c>
      <c r="K20" s="82" t="str">
        <f t="shared" si="1"/>
      </c>
      <c r="L20" s="3"/>
      <c r="M20" s="3"/>
      <c r="N20" s="2"/>
      <c r="O20" s="2"/>
      <c r="P20" s="2"/>
      <c r="Q20" s="2"/>
      <c r="R20" s="2"/>
    </row>
    <row r="21" spans="1:18" ht="15" customHeight="1" x14ac:dyDescent="0.15">
      <c r="A21" s="3"/>
      <c r="B21" s="69">
        <v>8</v>
      </c>
      <c r="C21" s="246" t="str">
        <f>IF('INPUT DATA'!K18="","",'INPUT DATA'!K18)</f>
      </c>
      <c r="D21" s="185"/>
      <c r="E21" s="186"/>
      <c r="F21" s="107">
        <f>IF('TERM 1'!AC25="","",'TERM 1'!AC25)</f>
      </c>
      <c r="G21" s="107" t="str">
        <f>IF('TERM 2'!AC25="","",'TERM 2'!AC25)</f>
      </c>
      <c r="H21" s="108" t="str">
        <f>IF('TERM 3'!AC25="","",'TERM 3'!AC25)</f>
      </c>
      <c r="I21" s="109" t="str">
        <f t="shared" si="0"/>
      </c>
      <c r="J21" s="110" t="str">
        <f t="array" ref="J21">IF(I21="","",IFERROR(INDEX(HELPER!$G$8:$G$48,MATCH(I21,HELPER!$F$8:$F$48,-1)),""))</f>
      </c>
      <c r="K21" s="82" t="str">
        <f t="shared" si="1"/>
      </c>
      <c r="L21" s="3"/>
      <c r="M21" s="3"/>
      <c r="N21" s="2"/>
      <c r="O21" s="2"/>
      <c r="P21" s="2"/>
      <c r="Q21" s="2"/>
      <c r="R21" s="2"/>
    </row>
    <row r="22" spans="1:18" ht="15" customHeight="1" x14ac:dyDescent="0.15">
      <c r="A22" s="3"/>
      <c r="B22" s="69">
        <v>9</v>
      </c>
      <c r="C22" s="246" t="str">
        <f>IF('INPUT DATA'!K19="","",'INPUT DATA'!K19)</f>
      </c>
      <c r="D22" s="185"/>
      <c r="E22" s="186"/>
      <c r="F22" s="107">
        <f>IF('TERM 1'!AC26="","",'TERM 1'!AC26)</f>
      </c>
      <c r="G22" s="107" t="str">
        <f>IF('TERM 2'!AC26="","",'TERM 2'!AC26)</f>
      </c>
      <c r="H22" s="108" t="str">
        <f>IF('TERM 3'!AC26="","",'TERM 3'!AC26)</f>
      </c>
      <c r="I22" s="109" t="str">
        <f t="shared" si="0"/>
      </c>
      <c r="J22" s="110" t="str">
        <f t="array" ref="J22">IF(I22="","",IFERROR(INDEX(HELPER!$G$8:$G$48,MATCH(I22,HELPER!$F$8:$F$48,-1)),""))</f>
      </c>
      <c r="K22" s="82" t="str">
        <f t="shared" si="1"/>
      </c>
      <c r="L22" s="3"/>
      <c r="M22" s="3"/>
      <c r="N22" s="2"/>
      <c r="O22" s="2"/>
      <c r="P22" s="2"/>
      <c r="Q22" s="2"/>
      <c r="R22" s="2"/>
    </row>
    <row r="23" spans="1:18" ht="15" customHeight="1" x14ac:dyDescent="0.15">
      <c r="A23" s="3"/>
      <c r="B23" s="69">
        <v>10</v>
      </c>
      <c r="C23" s="246" t="str">
        <f>IF('INPUT DATA'!K20="","",'INPUT DATA'!K20)</f>
      </c>
      <c r="D23" s="185"/>
      <c r="E23" s="186"/>
      <c r="F23" s="107">
        <f>IF('TERM 1'!AC27="","",'TERM 1'!AC27)</f>
      </c>
      <c r="G23" s="107" t="str">
        <f>IF('TERM 2'!AC27="","",'TERM 2'!AC27)</f>
      </c>
      <c r="H23" s="108" t="str">
        <f>IF('TERM 3'!AC27="","",'TERM 3'!AC27)</f>
      </c>
      <c r="I23" s="109" t="str">
        <f t="shared" si="0"/>
      </c>
      <c r="J23" s="110" t="str">
        <f t="array" ref="J23">IF(I23="","",IFERROR(INDEX(HELPER!$G$8:$G$48,MATCH(I23,HELPER!$F$8:$F$48,-1)),""))</f>
      </c>
      <c r="K23" s="82" t="str">
        <f t="shared" si="1"/>
      </c>
      <c r="L23" s="3"/>
      <c r="M23" s="3"/>
    </row>
    <row r="24" spans="1:18" ht="15" customHeight="1" x14ac:dyDescent="0.15">
      <c r="A24" s="3"/>
      <c r="B24" s="69">
        <v>11</v>
      </c>
      <c r="C24" s="246" t="str">
        <f>IF('INPUT DATA'!K21="","",'INPUT DATA'!K21)</f>
      </c>
      <c r="D24" s="185"/>
      <c r="E24" s="186"/>
      <c r="F24" s="107">
        <f>IF('TERM 1'!AC28="","",'TERM 1'!AC28)</f>
      </c>
      <c r="G24" s="107" t="str">
        <f>IF('TERM 2'!AC28="","",'TERM 2'!AC28)</f>
      </c>
      <c r="H24" s="108" t="str">
        <f>IF('TERM 3'!AC28="","",'TERM 3'!AC28)</f>
      </c>
      <c r="I24" s="109" t="str">
        <f t="shared" si="0"/>
      </c>
      <c r="J24" s="110" t="str">
        <f t="array" ref="J24">IF(I24="","",IFERROR(INDEX(HELPER!$G$8:$G$48,MATCH(I24,HELPER!$F$8:$F$48,-1)),""))</f>
      </c>
      <c r="K24" s="82" t="str">
        <f t="shared" si="1"/>
      </c>
      <c r="L24" s="3"/>
      <c r="M24" s="3"/>
    </row>
    <row r="25" spans="1:18" ht="15" customHeight="1" x14ac:dyDescent="0.15">
      <c r="A25" s="3"/>
      <c r="B25" s="69">
        <v>12</v>
      </c>
      <c r="C25" s="246" t="str">
        <f>IF('INPUT DATA'!K22="","",'INPUT DATA'!K22)</f>
      </c>
      <c r="D25" s="185"/>
      <c r="E25" s="186"/>
      <c r="F25" s="107">
        <f>IF('TERM 1'!AC29="","",'TERM 1'!AC29)</f>
      </c>
      <c r="G25" s="107" t="str">
        <f>IF('TERM 2'!AC29="","",'TERM 2'!AC29)</f>
      </c>
      <c r="H25" s="108" t="str">
        <f>IF('TERM 3'!AC29="","",'TERM 3'!AC29)</f>
      </c>
      <c r="I25" s="109" t="str">
        <f t="shared" si="0"/>
      </c>
      <c r="J25" s="110" t="str">
        <f t="array" ref="J25">IF(I25="","",IFERROR(INDEX(HELPER!$G$8:$G$48,MATCH(I25,HELPER!$F$8:$F$48,-1)),""))</f>
      </c>
      <c r="K25" s="82" t="str">
        <f t="shared" si="1"/>
      </c>
      <c r="L25" s="3"/>
      <c r="M25" s="3"/>
    </row>
    <row r="26" spans="1:18" ht="15" customHeight="1" x14ac:dyDescent="0.15">
      <c r="A26" s="3"/>
      <c r="B26" s="69">
        <v>13</v>
      </c>
      <c r="C26" s="246" t="str">
        <f>IF('INPUT DATA'!K23="","",'INPUT DATA'!K23)</f>
      </c>
      <c r="D26" s="185"/>
      <c r="E26" s="186"/>
      <c r="F26" s="107">
        <f>IF('TERM 1'!AC30="","",'TERM 1'!AC30)</f>
      </c>
      <c r="G26" s="107" t="str">
        <f>IF('TERM 2'!AC30="","",'TERM 2'!AC30)</f>
      </c>
      <c r="H26" s="108" t="str">
        <f>IF('TERM 3'!AC30="","",'TERM 3'!AC30)</f>
      </c>
      <c r="I26" s="109" t="str">
        <f t="shared" si="0"/>
      </c>
      <c r="J26" s="110" t="str">
        <f t="array" ref="J26">IF(I26="","",IFERROR(INDEX(HELPER!$G$8:$G$48,MATCH(I26,HELPER!$F$8:$F$48,-1)),""))</f>
      </c>
      <c r="K26" s="82" t="str">
        <f t="shared" si="1"/>
      </c>
      <c r="L26" s="3"/>
      <c r="M26" s="3"/>
    </row>
    <row r="27" spans="1:18" ht="15" customHeight="1" x14ac:dyDescent="0.15">
      <c r="A27" s="3"/>
      <c r="B27" s="69">
        <v>14</v>
      </c>
      <c r="C27" s="246" t="str">
        <f>IF('INPUT DATA'!K24="","",'INPUT DATA'!K24)</f>
      </c>
      <c r="D27" s="185"/>
      <c r="E27" s="186"/>
      <c r="F27" s="107">
        <f>IF('TERM 1'!AC31="","",'TERM 1'!AC31)</f>
      </c>
      <c r="G27" s="107" t="str">
        <f>IF('TERM 2'!AC31="","",'TERM 2'!AC31)</f>
      </c>
      <c r="H27" s="108" t="str">
        <f>IF('TERM 3'!AC31="","",'TERM 3'!AC31)</f>
      </c>
      <c r="I27" s="109" t="str">
        <f t="shared" si="0"/>
      </c>
      <c r="J27" s="110" t="str">
        <f t="array" ref="J27">IF(I27="","",IFERROR(INDEX(HELPER!$G$8:$G$48,MATCH(I27,HELPER!$F$8:$F$48,-1)),""))</f>
      </c>
      <c r="K27" s="82" t="str">
        <f t="shared" si="1"/>
      </c>
      <c r="L27" s="3"/>
      <c r="M27" s="3"/>
    </row>
    <row r="28" spans="1:18" ht="15" customHeight="1" x14ac:dyDescent="0.15">
      <c r="A28" s="3"/>
      <c r="B28" s="69">
        <v>15</v>
      </c>
      <c r="C28" s="246" t="str">
        <f>IF('INPUT DATA'!K25="","",'INPUT DATA'!K25)</f>
      </c>
      <c r="D28" s="185"/>
      <c r="E28" s="186"/>
      <c r="F28" s="107">
        <f>IF('TERM 1'!AC32="","",'TERM 1'!AC32)</f>
      </c>
      <c r="G28" s="107" t="str">
        <f>IF('TERM 2'!AC32="","",'TERM 2'!AC32)</f>
      </c>
      <c r="H28" s="108" t="str">
        <f>IF('TERM 3'!AC32="","",'TERM 3'!AC32)</f>
      </c>
      <c r="I28" s="109" t="str">
        <f t="shared" si="0"/>
      </c>
      <c r="J28" s="110" t="str">
        <f t="array" ref="J28">IF(I28="","",IFERROR(INDEX(HELPER!$G$8:$G$48,MATCH(I28,HELPER!$F$8:$F$48,-1)),""))</f>
      </c>
      <c r="K28" s="82" t="str">
        <f t="shared" si="1"/>
      </c>
      <c r="L28" s="3"/>
      <c r="M28" s="3"/>
    </row>
    <row r="29" spans="1:18" ht="15" customHeight="1" x14ac:dyDescent="0.15">
      <c r="A29" s="3"/>
      <c r="B29" s="69">
        <v>16</v>
      </c>
      <c r="C29" s="246" t="str">
        <f>IF('INPUT DATA'!K26="","",'INPUT DATA'!K26)</f>
      </c>
      <c r="D29" s="185"/>
      <c r="E29" s="186"/>
      <c r="F29" s="107">
        <f>IF('TERM 1'!AC33="","",'TERM 1'!AC33)</f>
      </c>
      <c r="G29" s="107" t="str">
        <f>IF('TERM 2'!AC33="","",'TERM 2'!AC33)</f>
      </c>
      <c r="H29" s="108" t="str">
        <f>IF('TERM 3'!AC33="","",'TERM 3'!AC33)</f>
      </c>
      <c r="I29" s="109" t="str">
        <f t="shared" si="0"/>
      </c>
      <c r="J29" s="110" t="str">
        <f t="array" ref="J29">IF(I29="","",IFERROR(INDEX(HELPER!$G$8:$G$48,MATCH(I29,HELPER!$F$8:$F$48,-1)),""))</f>
      </c>
      <c r="K29" s="82" t="str">
        <f t="shared" si="1"/>
      </c>
      <c r="L29" s="3"/>
      <c r="M29" s="3"/>
    </row>
    <row r="30" spans="1:18" ht="15" customHeight="1" x14ac:dyDescent="0.15">
      <c r="A30" s="3"/>
      <c r="B30" s="69">
        <v>17</v>
      </c>
      <c r="C30" s="246" t="str">
        <f>IF('INPUT DATA'!K27="","",'INPUT DATA'!K27)</f>
      </c>
      <c r="D30" s="185"/>
      <c r="E30" s="186"/>
      <c r="F30" s="107">
        <f>IF('TERM 1'!AC34="","",'TERM 1'!AC34)</f>
      </c>
      <c r="G30" s="107" t="str">
        <f>IF('TERM 2'!AC34="","",'TERM 2'!AC34)</f>
      </c>
      <c r="H30" s="108" t="str">
        <f>IF('TERM 3'!AC34="","",'TERM 3'!AC34)</f>
      </c>
      <c r="I30" s="109" t="str">
        <f t="shared" si="0"/>
      </c>
      <c r="J30" s="110" t="str">
        <f t="array" ref="J30">IF(I30="","",IFERROR(INDEX(HELPER!$G$8:$G$48,MATCH(I30,HELPER!$F$8:$F$48,-1)),""))</f>
      </c>
      <c r="K30" s="82" t="str">
        <f t="shared" si="1"/>
      </c>
      <c r="L30" s="3"/>
      <c r="M30" s="3"/>
    </row>
    <row r="31" spans="1:18" ht="15" customHeight="1" x14ac:dyDescent="0.15">
      <c r="A31" s="3"/>
      <c r="B31" s="69">
        <v>18</v>
      </c>
      <c r="C31" s="246" t="str">
        <f>IF('INPUT DATA'!K28="","",'INPUT DATA'!K28)</f>
      </c>
      <c r="D31" s="185"/>
      <c r="E31" s="186"/>
      <c r="F31" s="107">
        <f>IF('TERM 1'!AC35="","",'TERM 1'!AC35)</f>
      </c>
      <c r="G31" s="107" t="str">
        <f>IF('TERM 2'!AC35="","",'TERM 2'!AC35)</f>
      </c>
      <c r="H31" s="108" t="str">
        <f>IF('TERM 3'!AC35="","",'TERM 3'!AC35)</f>
      </c>
      <c r="I31" s="109" t="str">
        <f t="shared" si="0"/>
      </c>
      <c r="J31" s="110" t="str">
        <f t="array" ref="J31">IF(I31="","",IFERROR(INDEX(HELPER!$G$8:$G$48,MATCH(I31,HELPER!$F$8:$F$48,-1)),""))</f>
      </c>
      <c r="K31" s="82" t="str">
        <f t="shared" si="1"/>
      </c>
      <c r="L31" s="3"/>
      <c r="M31" s="3"/>
    </row>
    <row r="32" spans="1:18" ht="15" customHeight="1" x14ac:dyDescent="0.15">
      <c r="A32" s="3"/>
      <c r="B32" s="69">
        <v>19</v>
      </c>
      <c r="C32" s="246" t="str">
        <f>IF('INPUT DATA'!K29="","",'INPUT DATA'!K29)</f>
      </c>
      <c r="D32" s="185"/>
      <c r="E32" s="186"/>
      <c r="F32" s="107">
        <f>IF('TERM 1'!AC36="","",'TERM 1'!AC36)</f>
      </c>
      <c r="G32" s="107" t="str">
        <f>IF('TERM 2'!AC36="","",'TERM 2'!AC36)</f>
      </c>
      <c r="H32" s="108" t="str">
        <f>IF('TERM 3'!AC36="","",'TERM 3'!AC36)</f>
      </c>
      <c r="I32" s="109" t="str">
        <f t="shared" si="0"/>
      </c>
      <c r="J32" s="110" t="str">
        <f t="array" ref="J32">IF(I32="","",IFERROR(INDEX(HELPER!$G$8:$G$48,MATCH(I32,HELPER!$F$8:$F$48,-1)),""))</f>
      </c>
      <c r="K32" s="82" t="str">
        <f t="shared" si="1"/>
      </c>
      <c r="L32" s="3"/>
      <c r="M32" s="3"/>
    </row>
    <row r="33" spans="1:13" ht="15" customHeight="1" x14ac:dyDescent="0.15">
      <c r="A33" s="3"/>
      <c r="B33" s="98">
        <v>20</v>
      </c>
      <c r="C33" s="246" t="str">
        <f>IF('INPUT DATA'!K30="","",'INPUT DATA'!K30)</f>
      </c>
      <c r="D33" s="185"/>
      <c r="E33" s="186"/>
      <c r="F33" s="107">
        <f>IF('TERM 1'!AC37="","",'TERM 1'!AC37)</f>
      </c>
      <c r="G33" s="107" t="str">
        <f>IF('TERM 2'!AC37="","",'TERM 2'!AC37)</f>
      </c>
      <c r="H33" s="108" t="str">
        <f>IF('TERM 3'!AC37="","",'TERM 3'!AC37)</f>
      </c>
      <c r="I33" s="109" t="str">
        <f t="shared" si="0"/>
      </c>
      <c r="J33" s="110" t="str">
        <f t="array" ref="J33">IF(I33="","",IFERROR(INDEX(HELPER!$G$8:$G$48,MATCH(I33,HELPER!$F$8:$F$48,-1)),""))</f>
      </c>
      <c r="K33" s="82" t="str">
        <f t="shared" si="1"/>
      </c>
      <c r="L33" s="3"/>
      <c r="M33" s="3"/>
    </row>
    <row r="34" spans="1:13" ht="15" customHeight="1" x14ac:dyDescent="0.15">
      <c r="A34" s="3"/>
      <c r="B34" s="98">
        <v>21</v>
      </c>
      <c r="C34" s="246" t="str">
        <f>IF('INPUT DATA'!K31="","",'INPUT DATA'!K31)</f>
      </c>
      <c r="D34" s="185"/>
      <c r="E34" s="186"/>
      <c r="F34" s="107">
        <f>IF('TERM 1'!AC38="","",'TERM 1'!AC38)</f>
      </c>
      <c r="G34" s="107" t="str">
        <f>IF('TERM 2'!AC38="","",'TERM 2'!AC38)</f>
      </c>
      <c r="H34" s="108" t="str">
        <f>IF('TERM 3'!AC38="","",'TERM 3'!AC38)</f>
      </c>
      <c r="I34" s="109" t="str">
        <f t="shared" si="0"/>
      </c>
      <c r="J34" s="110" t="str">
        <f t="array" ref="J34">IF(I34="","",IFERROR(INDEX(HELPER!$G$8:$G$48,MATCH(I34,HELPER!$F$8:$F$48,-1)),""))</f>
      </c>
      <c r="K34" s="82" t="str">
        <f t="shared" si="1"/>
      </c>
      <c r="L34" s="3"/>
      <c r="M34" s="3"/>
    </row>
    <row r="35" spans="1:13" ht="15" customHeight="1" x14ac:dyDescent="0.15">
      <c r="A35" s="3"/>
      <c r="B35" s="98">
        <v>22</v>
      </c>
      <c r="C35" s="246" t="str">
        <f>IF('INPUT DATA'!K32="","",'INPUT DATA'!K32)</f>
      </c>
      <c r="D35" s="185"/>
      <c r="E35" s="186"/>
      <c r="F35" s="107">
        <f>IF('TERM 1'!AC39="","",'TERM 1'!AC39)</f>
      </c>
      <c r="G35" s="107" t="str">
        <f>IF('TERM 2'!AC39="","",'TERM 2'!AC39)</f>
      </c>
      <c r="H35" s="108" t="str">
        <f>IF('TERM 3'!AC39="","",'TERM 3'!AC39)</f>
      </c>
      <c r="I35" s="109" t="str">
        <f t="shared" si="0"/>
      </c>
      <c r="J35" s="110" t="str">
        <f t="array" ref="J35">IF(I35="","",IFERROR(INDEX(HELPER!$G$8:$G$48,MATCH(I35,HELPER!$F$8:$F$48,-1)),""))</f>
      </c>
      <c r="K35" s="82" t="str">
        <f t="shared" si="1"/>
      </c>
      <c r="L35" s="3"/>
      <c r="M35" s="3"/>
    </row>
    <row r="36" spans="1:13" ht="15" customHeight="1" x14ac:dyDescent="0.15">
      <c r="A36" s="3"/>
      <c r="B36" s="98">
        <v>23</v>
      </c>
      <c r="C36" s="246" t="str">
        <f>IF('INPUT DATA'!K33="","",'INPUT DATA'!K33)</f>
      </c>
      <c r="D36" s="185"/>
      <c r="E36" s="186"/>
      <c r="F36" s="107">
        <f>IF('TERM 1'!AC40="","",'TERM 1'!AC40)</f>
      </c>
      <c r="G36" s="107" t="str">
        <f>IF('TERM 2'!AC40="","",'TERM 2'!AC40)</f>
      </c>
      <c r="H36" s="108" t="str">
        <f>IF('TERM 3'!AC40="","",'TERM 3'!AC40)</f>
      </c>
      <c r="I36" s="109" t="str">
        <f t="shared" si="0"/>
      </c>
      <c r="J36" s="110" t="str">
        <f t="array" ref="J36">IF(I36="","",IFERROR(INDEX(HELPER!$G$8:$G$48,MATCH(I36,HELPER!$F$8:$F$48,-1)),""))</f>
      </c>
      <c r="K36" s="82" t="str">
        <f t="shared" si="1"/>
      </c>
      <c r="L36" s="3"/>
      <c r="M36" s="3"/>
    </row>
    <row r="37" spans="1:13" ht="15" customHeight="1" x14ac:dyDescent="0.15">
      <c r="A37" s="3"/>
      <c r="B37" s="98">
        <v>24</v>
      </c>
      <c r="C37" s="246" t="str">
        <f>IF('INPUT DATA'!K34="","",'INPUT DATA'!K34)</f>
      </c>
      <c r="D37" s="185"/>
      <c r="E37" s="186"/>
      <c r="F37" s="107">
        <f>IF('TERM 1'!AC41="","",'TERM 1'!AC41)</f>
      </c>
      <c r="G37" s="107" t="str">
        <f>IF('TERM 2'!AC41="","",'TERM 2'!AC41)</f>
      </c>
      <c r="H37" s="108" t="str">
        <f>IF('TERM 3'!AC41="","",'TERM 3'!AC41)</f>
      </c>
      <c r="I37" s="109" t="str">
        <f t="shared" si="0"/>
      </c>
      <c r="J37" s="110" t="str">
        <f t="array" ref="J37">IF(I37="","",IFERROR(INDEX(HELPER!$G$8:$G$48,MATCH(I37,HELPER!$F$8:$F$48,-1)),""))</f>
      </c>
      <c r="K37" s="82" t="str">
        <f t="shared" si="1"/>
      </c>
      <c r="L37" s="3"/>
      <c r="M37" s="3"/>
    </row>
    <row r="38" spans="1:13" ht="15" customHeight="1" x14ac:dyDescent="0.15">
      <c r="A38" s="3"/>
      <c r="B38" s="98">
        <v>25</v>
      </c>
      <c r="C38" s="246" t="str">
        <f>IF('INPUT DATA'!K35="","",'INPUT DATA'!K35)</f>
      </c>
      <c r="D38" s="185"/>
      <c r="E38" s="186"/>
      <c r="F38" s="107">
        <f>IF('TERM 1'!AC42="","",'TERM 1'!AC42)</f>
      </c>
      <c r="G38" s="107" t="str">
        <f>IF('TERM 2'!AC42="","",'TERM 2'!AC42)</f>
      </c>
      <c r="H38" s="108" t="str">
        <f>IF('TERM 3'!AC42="","",'TERM 3'!AC42)</f>
      </c>
      <c r="I38" s="109" t="str">
        <f t="shared" si="0"/>
      </c>
      <c r="J38" s="110" t="str">
        <f t="array" ref="J38">IF(I38="","",IFERROR(INDEX(HELPER!$G$8:$G$48,MATCH(I38,HELPER!$F$8:$F$48,-1)),""))</f>
      </c>
      <c r="K38" s="82" t="str">
        <f t="shared" si="1"/>
      </c>
      <c r="L38" s="3"/>
      <c r="M38" s="3"/>
    </row>
    <row r="39" spans="1:13" ht="15" customHeight="1" x14ac:dyDescent="0.15">
      <c r="A39" s="3"/>
      <c r="B39" s="98">
        <v>26</v>
      </c>
      <c r="C39" s="246" t="str">
        <f>IF('INPUT DATA'!K36="","",'INPUT DATA'!K36)</f>
      </c>
      <c r="D39" s="185"/>
      <c r="E39" s="186"/>
      <c r="F39" s="107" t="str">
        <f>IF('TERM 1'!AC43="","",'TERM 1'!AC43)</f>
      </c>
      <c r="G39" s="107" t="str">
        <f>IF('TERM 2'!AC43="","",'TERM 2'!AC43)</f>
      </c>
      <c r="H39" s="108" t="str">
        <f>IF('TERM 3'!AC43="","",'TERM 3'!AC43)</f>
      </c>
      <c r="I39" s="109" t="str">
        <f t="shared" si="0"/>
      </c>
      <c r="J39" s="110" t="str">
        <f t="array" ref="J39">IF(I39="","",IFERROR(INDEX(HELPER!$G$8:$G$48,MATCH(I39,HELPER!$F$8:$F$48,-1)),""))</f>
      </c>
      <c r="K39" s="82" t="str">
        <f t="shared" si="1"/>
      </c>
      <c r="L39" s="3"/>
      <c r="M39" s="3"/>
    </row>
    <row r="40" spans="1:13" ht="15" customHeight="1" x14ac:dyDescent="0.15">
      <c r="A40" s="3"/>
      <c r="B40" s="98">
        <v>27</v>
      </c>
      <c r="C40" s="246" t="str">
        <f>IF('INPUT DATA'!K37="","",'INPUT DATA'!K37)</f>
      </c>
      <c r="D40" s="185"/>
      <c r="E40" s="186"/>
      <c r="F40" s="107" t="str">
        <f>IF('TERM 1'!AC44="","",'TERM 1'!AC44)</f>
      </c>
      <c r="G40" s="107" t="str">
        <f>IF('TERM 2'!AC44="","",'TERM 2'!AC44)</f>
      </c>
      <c r="H40" s="108" t="str">
        <f>IF('TERM 3'!AC44="","",'TERM 3'!AC44)</f>
      </c>
      <c r="I40" s="109" t="str">
        <f t="shared" si="0"/>
      </c>
      <c r="J40" s="110" t="str">
        <f t="array" ref="J40">IF(I40="","",IFERROR(INDEX(HELPER!$G$8:$G$48,MATCH(I40,HELPER!$F$8:$F$48,-1)),""))</f>
      </c>
      <c r="K40" s="82" t="str">
        <f t="shared" si="1"/>
      </c>
      <c r="L40" s="3"/>
      <c r="M40" s="3"/>
    </row>
    <row r="41" spans="1:13" ht="15" customHeight="1" x14ac:dyDescent="0.15">
      <c r="A41" s="3"/>
      <c r="B41" s="98">
        <v>28</v>
      </c>
      <c r="C41" s="246" t="str">
        <f>IF('INPUT DATA'!K38="","",'INPUT DATA'!K38)</f>
      </c>
      <c r="D41" s="185"/>
      <c r="E41" s="186"/>
      <c r="F41" s="107" t="str">
        <f>IF('TERM 1'!AC45="","",'TERM 1'!AC45)</f>
      </c>
      <c r="G41" s="107" t="str">
        <f>IF('TERM 2'!AC45="","",'TERM 2'!AC45)</f>
      </c>
      <c r="H41" s="108" t="str">
        <f>IF('TERM 3'!AC45="","",'TERM 3'!AC45)</f>
      </c>
      <c r="I41" s="109" t="str">
        <f t="shared" si="0"/>
      </c>
      <c r="J41" s="110" t="str">
        <f t="array" ref="J41">IF(I41="","",IFERROR(INDEX(HELPER!$G$8:$G$48,MATCH(I41,HELPER!$F$8:$F$48,-1)),""))</f>
      </c>
      <c r="K41" s="82" t="str">
        <f t="shared" si="1"/>
      </c>
      <c r="L41" s="3"/>
      <c r="M41" s="3"/>
    </row>
    <row r="42" spans="1:13" ht="15" customHeight="1" x14ac:dyDescent="0.15">
      <c r="A42" s="3"/>
      <c r="B42" s="98">
        <v>29</v>
      </c>
      <c r="C42" s="246" t="str">
        <f>IF('INPUT DATA'!K39="","",'INPUT DATA'!K39)</f>
      </c>
      <c r="D42" s="185"/>
      <c r="E42" s="186"/>
      <c r="F42" s="107" t="str">
        <f>IF('TERM 1'!AC46="","",'TERM 1'!AC46)</f>
      </c>
      <c r="G42" s="107" t="str">
        <f>IF('TERM 2'!AC46="","",'TERM 2'!AC46)</f>
      </c>
      <c r="H42" s="108" t="str">
        <f>IF('TERM 3'!AC46="","",'TERM 3'!AC46)</f>
      </c>
      <c r="I42" s="109" t="str">
        <f t="shared" si="0"/>
      </c>
      <c r="J42" s="110" t="str">
        <f t="array" ref="J42">IF(I42="","",IFERROR(INDEX(HELPER!$G$8:$G$48,MATCH(I42,HELPER!$F$8:$F$48,-1)),""))</f>
      </c>
      <c r="K42" s="82" t="str">
        <f t="shared" si="1"/>
      </c>
      <c r="L42" s="3"/>
      <c r="M42" s="3"/>
    </row>
    <row r="43" spans="1:13" ht="15" customHeight="1" x14ac:dyDescent="0.15">
      <c r="A43" s="3"/>
      <c r="B43" s="98">
        <v>30</v>
      </c>
      <c r="C43" s="246" t="str">
        <f>IF('INPUT DATA'!K40="","",'INPUT DATA'!K40)</f>
      </c>
      <c r="D43" s="185"/>
      <c r="E43" s="186"/>
      <c r="F43" s="107" t="str">
        <f>IF('TERM 1'!AC47="","",'TERM 1'!AC47)</f>
      </c>
      <c r="G43" s="107" t="str">
        <f>IF('TERM 2'!AC47="","",'TERM 2'!AC47)</f>
      </c>
      <c r="H43" s="108" t="str">
        <f>IF('TERM 3'!AC47="","",'TERM 3'!AC47)</f>
      </c>
      <c r="I43" s="109" t="str">
        <f t="shared" si="0"/>
      </c>
      <c r="J43" s="110" t="str">
        <f t="array" ref="J43">IF(I43="","",IFERROR(INDEX(HELPER!$G$8:$G$48,MATCH(I43,HELPER!$F$8:$F$48,-1)),""))</f>
      </c>
      <c r="K43" s="82" t="str">
        <f t="shared" si="1"/>
      </c>
      <c r="L43" s="3"/>
      <c r="M43" s="3"/>
    </row>
    <row r="44" spans="1:13" ht="15" customHeight="1" x14ac:dyDescent="0.15">
      <c r="A44" s="3"/>
      <c r="B44" s="98">
        <v>31</v>
      </c>
      <c r="C44" s="246" t="str">
        <f>IF('INPUT DATA'!K41="","",'INPUT DATA'!K41)</f>
      </c>
      <c r="D44" s="185"/>
      <c r="E44" s="186"/>
      <c r="F44" s="107" t="str">
        <f>IF('TERM 1'!AC48="","",'TERM 1'!AC48)</f>
      </c>
      <c r="G44" s="107" t="str">
        <f>IF('TERM 2'!AC48="","",'TERM 2'!AC48)</f>
      </c>
      <c r="H44" s="108" t="str">
        <f>IF('TERM 3'!AC48="","",'TERM 3'!AC48)</f>
      </c>
      <c r="I44" s="109" t="str">
        <f t="shared" si="0"/>
      </c>
      <c r="J44" s="110" t="str">
        <f t="array" ref="J44">IF(I44="","",IFERROR(INDEX(HELPER!$G$8:$G$48,MATCH(I44,HELPER!$F$8:$F$48,-1)),""))</f>
      </c>
      <c r="K44" s="82" t="str">
        <f t="shared" si="1"/>
      </c>
      <c r="L44" s="3"/>
      <c r="M44" s="3"/>
    </row>
    <row r="45" spans="1:13" ht="15" customHeight="1" x14ac:dyDescent="0.15">
      <c r="A45" s="3"/>
      <c r="B45" s="98">
        <v>32</v>
      </c>
      <c r="C45" s="246" t="str">
        <f>IF('INPUT DATA'!K42="","",'INPUT DATA'!K42)</f>
      </c>
      <c r="D45" s="185"/>
      <c r="E45" s="186"/>
      <c r="F45" s="107" t="str">
        <f>IF('TERM 1'!AC49="","",'TERM 1'!AC49)</f>
      </c>
      <c r="G45" s="107" t="str">
        <f>IF('TERM 2'!AC49="","",'TERM 2'!AC49)</f>
      </c>
      <c r="H45" s="108" t="str">
        <f>IF('TERM 3'!AC49="","",'TERM 3'!AC49)</f>
      </c>
      <c r="I45" s="109" t="str">
        <f t="shared" si="0"/>
      </c>
      <c r="J45" s="110" t="str">
        <f t="array" ref="J45">IF(I45="","",IFERROR(INDEX(HELPER!$G$8:$G$48,MATCH(I45,HELPER!$F$8:$F$48,-1)),""))</f>
      </c>
      <c r="K45" s="82" t="str">
        <f t="shared" si="1"/>
      </c>
      <c r="L45" s="3"/>
      <c r="M45" s="3"/>
    </row>
    <row r="46" spans="1:13" ht="15" customHeight="1" x14ac:dyDescent="0.15">
      <c r="A46" s="3"/>
      <c r="B46" s="98">
        <v>33</v>
      </c>
      <c r="C46" s="246" t="str">
        <f>IF('INPUT DATA'!K43="","",'INPUT DATA'!K43)</f>
      </c>
      <c r="D46" s="185"/>
      <c r="E46" s="186"/>
      <c r="F46" s="107" t="str">
        <f>IF('TERM 1'!AC50="","",'TERM 1'!AC50)</f>
      </c>
      <c r="G46" s="107" t="str">
        <f>IF('TERM 2'!AC50="","",'TERM 2'!AC50)</f>
      </c>
      <c r="H46" s="108" t="str">
        <f>IF('TERM 3'!AC50="","",'TERM 3'!AC50)</f>
      </c>
      <c r="I46" s="109" t="str">
        <f t="shared" si="0"/>
      </c>
      <c r="J46" s="110" t="str">
        <f t="array" ref="J46">IF(I46="","",IFERROR(INDEX(HELPER!$G$8:$G$48,MATCH(I46,HELPER!$F$8:$F$48,-1)),""))</f>
      </c>
      <c r="K46" s="82" t="str">
        <f t="shared" si="1"/>
      </c>
      <c r="L46" s="3"/>
      <c r="M46" s="3"/>
    </row>
    <row r="47" spans="1:13" ht="15" customHeight="1" x14ac:dyDescent="0.15">
      <c r="A47" s="3"/>
      <c r="B47" s="98">
        <v>34</v>
      </c>
      <c r="C47" s="246" t="str">
        <f>IF('INPUT DATA'!K44="","",'INPUT DATA'!K44)</f>
      </c>
      <c r="D47" s="185"/>
      <c r="E47" s="186"/>
      <c r="F47" s="107" t="str">
        <f>IF('TERM 1'!AC51="","",'TERM 1'!AC51)</f>
      </c>
      <c r="G47" s="107" t="str">
        <f>IF('TERM 2'!AC51="","",'TERM 2'!AC51)</f>
      </c>
      <c r="H47" s="108" t="str">
        <f>IF('TERM 3'!AC51="","",'TERM 3'!AC51)</f>
      </c>
      <c r="I47" s="109" t="str">
        <f t="shared" si="0"/>
      </c>
      <c r="J47" s="110" t="str">
        <f t="array" ref="J47">IF(I47="","",IFERROR(INDEX(HELPER!$G$8:$G$48,MATCH(I47,HELPER!$F$8:$F$48,-1)),""))</f>
      </c>
      <c r="K47" s="82" t="str">
        <f t="shared" si="1"/>
      </c>
      <c r="L47" s="3"/>
      <c r="M47" s="3"/>
    </row>
    <row r="48" spans="1:13" ht="15" customHeight="1" x14ac:dyDescent="0.15">
      <c r="A48" s="3"/>
      <c r="B48" s="98">
        <v>35</v>
      </c>
      <c r="C48" s="246" t="str">
        <f>IF('INPUT DATA'!K45="","",'INPUT DATA'!K45)</f>
      </c>
      <c r="D48" s="185"/>
      <c r="E48" s="186"/>
      <c r="F48" s="107" t="str">
        <f>IF('TERM 1'!AC52="","",'TERM 1'!AC52)</f>
      </c>
      <c r="G48" s="107" t="str">
        <f>IF('TERM 2'!AC52="","",'TERM 2'!AC52)</f>
      </c>
      <c r="H48" s="108" t="str">
        <f>IF('TERM 3'!AC52="","",'TERM 3'!AC52)</f>
      </c>
      <c r="I48" s="109" t="str">
        <f t="shared" si="0"/>
      </c>
      <c r="J48" s="110" t="str">
        <f t="array" ref="J48">IF(I48="","",IFERROR(INDEX(HELPER!$G$8:$G$48,MATCH(I48,HELPER!$F$8:$F$48,-1)),""))</f>
      </c>
      <c r="K48" s="82" t="str">
        <f t="shared" si="1"/>
      </c>
      <c r="L48" s="3"/>
      <c r="M48" s="3"/>
    </row>
    <row r="49" spans="1:13" ht="15" customHeight="1" x14ac:dyDescent="0.15">
      <c r="A49" s="3"/>
      <c r="B49" s="98">
        <v>36</v>
      </c>
      <c r="C49" s="246" t="str">
        <f>IF('INPUT DATA'!K46="","",'INPUT DATA'!K46)</f>
      </c>
      <c r="D49" s="185"/>
      <c r="E49" s="186"/>
      <c r="F49" s="107" t="str">
        <f>IF('TERM 1'!AC53="","",'TERM 1'!AC53)</f>
      </c>
      <c r="G49" s="107" t="str">
        <f>IF('TERM 2'!AC53="","",'TERM 2'!AC53)</f>
      </c>
      <c r="H49" s="108" t="str">
        <f>IF('TERM 3'!AC53="","",'TERM 3'!AC53)</f>
      </c>
      <c r="I49" s="109" t="str">
        <f t="shared" si="0"/>
      </c>
      <c r="J49" s="110" t="str">
        <f t="array" ref="J49">IF(I49="","",IFERROR(INDEX(HELPER!$G$8:$G$48,MATCH(I49,HELPER!$F$8:$F$48,-1)),""))</f>
      </c>
      <c r="K49" s="82" t="str">
        <f t="shared" si="1"/>
      </c>
      <c r="L49" s="3"/>
      <c r="M49" s="3"/>
    </row>
    <row r="50" spans="1:13" ht="15" customHeight="1" x14ac:dyDescent="0.15">
      <c r="A50" s="3"/>
      <c r="B50" s="98">
        <v>37</v>
      </c>
      <c r="C50" s="246" t="str">
        <f>IF('INPUT DATA'!K47="","",'INPUT DATA'!K47)</f>
      </c>
      <c r="D50" s="185"/>
      <c r="E50" s="186"/>
      <c r="F50" s="107" t="str">
        <f>IF('TERM 1'!AC54="","",'TERM 1'!AC54)</f>
      </c>
      <c r="G50" s="107" t="str">
        <f>IF('TERM 2'!AC54="","",'TERM 2'!AC54)</f>
      </c>
      <c r="H50" s="108" t="str">
        <f>IF('TERM 3'!AC54="","",'TERM 3'!AC54)</f>
      </c>
      <c r="I50" s="109" t="str">
        <f t="shared" si="0"/>
      </c>
      <c r="J50" s="110" t="str">
        <f t="array" ref="J50">IF(I50="","",IFERROR(INDEX(HELPER!$G$8:$G$48,MATCH(I50,HELPER!$F$8:$F$48,-1)),""))</f>
      </c>
      <c r="K50" s="82" t="str">
        <f t="shared" si="1"/>
      </c>
      <c r="L50" s="3"/>
      <c r="M50" s="3"/>
    </row>
    <row r="51" spans="1:13" ht="15" customHeight="1" x14ac:dyDescent="0.15">
      <c r="A51" s="3"/>
      <c r="B51" s="98">
        <v>38</v>
      </c>
      <c r="C51" s="246" t="str">
        <f>IF('INPUT DATA'!K48="","",'INPUT DATA'!K48)</f>
      </c>
      <c r="D51" s="185"/>
      <c r="E51" s="186"/>
      <c r="F51" s="107" t="str">
        <f>IF('TERM 1'!AC55="","",'TERM 1'!AC55)</f>
      </c>
      <c r="G51" s="107" t="str">
        <f>IF('TERM 2'!AC55="","",'TERM 2'!AC55)</f>
      </c>
      <c r="H51" s="108" t="str">
        <f>IF('TERM 3'!AC55="","",'TERM 3'!AC55)</f>
      </c>
      <c r="I51" s="109" t="str">
        <f t="shared" si="0"/>
      </c>
      <c r="J51" s="110" t="str">
        <f t="array" ref="J51">IF(I51="","",IFERROR(INDEX(HELPER!$G$8:$G$48,MATCH(I51,HELPER!$F$8:$F$48,-1)),""))</f>
      </c>
      <c r="K51" s="82" t="str">
        <f t="shared" si="1"/>
      </c>
      <c r="L51" s="3"/>
      <c r="M51" s="3"/>
    </row>
    <row r="52" spans="1:13" ht="15" customHeight="1" x14ac:dyDescent="0.15">
      <c r="A52" s="3"/>
      <c r="B52" s="98">
        <v>39</v>
      </c>
      <c r="C52" s="246" t="str">
        <f>IF('INPUT DATA'!K49="","",'INPUT DATA'!K49)</f>
      </c>
      <c r="D52" s="185"/>
      <c r="E52" s="186"/>
      <c r="F52" s="107" t="str">
        <f>IF('TERM 1'!AC56="","",'TERM 1'!AC56)</f>
      </c>
      <c r="G52" s="107" t="str">
        <f>IF('TERM 2'!AC56="","",'TERM 2'!AC56)</f>
      </c>
      <c r="H52" s="108" t="str">
        <f>IF('TERM 3'!AC56="","",'TERM 3'!AC56)</f>
      </c>
      <c r="I52" s="109" t="str">
        <f t="shared" si="0"/>
      </c>
      <c r="J52" s="110" t="str">
        <f t="array" ref="J52">IF(I52="","",IFERROR(INDEX(HELPER!$G$8:$G$48,MATCH(I52,HELPER!$F$8:$F$48,-1)),""))</f>
      </c>
      <c r="K52" s="82" t="str">
        <f t="shared" si="1"/>
      </c>
      <c r="L52" s="3"/>
      <c r="M52" s="3"/>
    </row>
    <row r="53" spans="1:13" ht="15" customHeight="1" x14ac:dyDescent="0.15">
      <c r="A53" s="3"/>
      <c r="B53" s="98">
        <v>40</v>
      </c>
      <c r="C53" s="246" t="str">
        <f>IF('INPUT DATA'!K50="","",'INPUT DATA'!K50)</f>
      </c>
      <c r="D53" s="185"/>
      <c r="E53" s="186"/>
      <c r="F53" s="107" t="str">
        <f>IF('TERM 1'!AC57="","",'TERM 1'!AC57)</f>
      </c>
      <c r="G53" s="107" t="str">
        <f>IF('TERM 2'!AC57="","",'TERM 2'!AC57)</f>
      </c>
      <c r="H53" s="108" t="str">
        <f>IF('TERM 3'!AC57="","",'TERM 3'!AC57)</f>
      </c>
      <c r="I53" s="109" t="str">
        <f t="shared" si="0"/>
      </c>
      <c r="J53" s="110" t="str">
        <f t="array" ref="J53">IF(I53="","",IFERROR(INDEX(HELPER!$G$8:$G$48,MATCH(I53,HELPER!$F$8:$F$48,-1)),""))</f>
      </c>
      <c r="K53" s="82" t="str">
        <f t="shared" si="1"/>
      </c>
      <c r="L53" s="3"/>
      <c r="M53" s="3"/>
    </row>
    <row r="54" spans="1:13" ht="15" customHeight="1" x14ac:dyDescent="0.15">
      <c r="A54" s="3"/>
      <c r="B54" s="98">
        <v>41</v>
      </c>
      <c r="C54" s="246" t="str">
        <f>IF('INPUT DATA'!K51="","",'INPUT DATA'!K51)</f>
      </c>
      <c r="D54" s="185"/>
      <c r="E54" s="186"/>
      <c r="F54" s="107" t="str">
        <f>IF('TERM 1'!AC58="","",'TERM 1'!AC58)</f>
      </c>
      <c r="G54" s="107" t="str">
        <f>IF('TERM 2'!AC58="","",'TERM 2'!AC58)</f>
      </c>
      <c r="H54" s="108" t="str">
        <f>IF('TERM 3'!AC58="","",'TERM 3'!AC58)</f>
      </c>
      <c r="I54" s="109" t="str">
        <f t="shared" si="0"/>
      </c>
      <c r="J54" s="110" t="str">
        <f t="array" ref="J54">IF(I54="","",IFERROR(INDEX(HELPER!$G$8:$G$48,MATCH(I54,HELPER!$F$8:$F$48,-1)),""))</f>
      </c>
      <c r="K54" s="82" t="str">
        <f t="shared" si="1"/>
      </c>
      <c r="L54" s="3"/>
      <c r="M54" s="3"/>
    </row>
    <row r="55" spans="1:13" ht="15" customHeight="1" x14ac:dyDescent="0.15">
      <c r="A55" s="3"/>
      <c r="B55" s="98">
        <v>42</v>
      </c>
      <c r="C55" s="246" t="str">
        <f>IF('INPUT DATA'!K52="","",'INPUT DATA'!K52)</f>
      </c>
      <c r="D55" s="185"/>
      <c r="E55" s="186"/>
      <c r="F55" s="107" t="str">
        <f>IF('TERM 1'!AC59="","",'TERM 1'!AC59)</f>
      </c>
      <c r="G55" s="107" t="str">
        <f>IF('TERM 2'!AC59="","",'TERM 2'!AC59)</f>
      </c>
      <c r="H55" s="108" t="str">
        <f>IF('TERM 3'!AC59="","",'TERM 3'!AC59)</f>
      </c>
      <c r="I55" s="109" t="str">
        <f t="shared" si="0"/>
      </c>
      <c r="J55" s="110" t="str">
        <f t="array" ref="J55">IF(I55="","",IFERROR(INDEX(HELPER!$G$8:$G$48,MATCH(I55,HELPER!$F$8:$F$48,-1)),""))</f>
      </c>
      <c r="K55" s="82" t="str">
        <f t="shared" si="1"/>
      </c>
      <c r="L55" s="3"/>
      <c r="M55" s="3"/>
    </row>
    <row r="56" spans="1:13" ht="15" customHeight="1" x14ac:dyDescent="0.15">
      <c r="A56" s="3"/>
      <c r="B56" s="98">
        <v>43</v>
      </c>
      <c r="C56" s="246" t="str">
        <f>IF('INPUT DATA'!K53="","",'INPUT DATA'!K53)</f>
      </c>
      <c r="D56" s="185"/>
      <c r="E56" s="186"/>
      <c r="F56" s="107" t="str">
        <f>IF('TERM 1'!AC60="","",'TERM 1'!AC60)</f>
      </c>
      <c r="G56" s="107" t="str">
        <f>IF('TERM 2'!AC60="","",'TERM 2'!AC60)</f>
      </c>
      <c r="H56" s="108" t="str">
        <f>IF('TERM 3'!AC60="","",'TERM 3'!AC60)</f>
      </c>
      <c r="I56" s="109" t="str">
        <f t="shared" si="0"/>
      </c>
      <c r="J56" s="110" t="str">
        <f t="array" ref="J56">IF(I56="","",IFERROR(INDEX(HELPER!$G$8:$G$48,MATCH(I56,HELPER!$F$8:$F$48,-1)),""))</f>
      </c>
      <c r="K56" s="82" t="str">
        <f t="shared" si="1"/>
      </c>
      <c r="L56" s="3"/>
      <c r="M56" s="3"/>
    </row>
    <row r="57" spans="1:13" ht="15" customHeight="1" x14ac:dyDescent="0.15">
      <c r="A57" s="3"/>
      <c r="B57" s="98">
        <v>44</v>
      </c>
      <c r="C57" s="246" t="str">
        <f>IF('INPUT DATA'!K54="","",'INPUT DATA'!K54)</f>
      </c>
      <c r="D57" s="185"/>
      <c r="E57" s="186"/>
      <c r="F57" s="107" t="str">
        <f>IF('TERM 1'!AC61="","",'TERM 1'!AC61)</f>
      </c>
      <c r="G57" s="107" t="str">
        <f>IF('TERM 2'!AC61="","",'TERM 2'!AC61)</f>
      </c>
      <c r="H57" s="108" t="str">
        <f>IF('TERM 3'!AC61="","",'TERM 3'!AC61)</f>
      </c>
      <c r="I57" s="109" t="str">
        <f t="shared" si="0"/>
      </c>
      <c r="J57" s="110" t="str">
        <f t="array" ref="J57">IF(I57="","",IFERROR(INDEX(HELPER!$G$8:$G$48,MATCH(I57,HELPER!$F$8:$F$48,-1)),""))</f>
      </c>
      <c r="K57" s="82" t="str">
        <f t="shared" si="1"/>
      </c>
      <c r="L57" s="3"/>
      <c r="M57" s="3"/>
    </row>
    <row r="58" spans="1:13" ht="15" customHeight="1" x14ac:dyDescent="0.15">
      <c r="A58" s="3"/>
      <c r="B58" s="98">
        <v>45</v>
      </c>
      <c r="C58" s="246" t="str">
        <f>IF('INPUT DATA'!K55="","",'INPUT DATA'!K55)</f>
      </c>
      <c r="D58" s="185"/>
      <c r="E58" s="186"/>
      <c r="F58" s="107" t="str">
        <f>IF('TERM 1'!AC62="","",'TERM 1'!AC62)</f>
      </c>
      <c r="G58" s="107" t="str">
        <f>IF('TERM 2'!AC62="","",'TERM 2'!AC62)</f>
      </c>
      <c r="H58" s="108" t="str">
        <f>IF('TERM 3'!AC62="","",'TERM 3'!AC62)</f>
      </c>
      <c r="I58" s="109" t="str">
        <f t="shared" si="0"/>
      </c>
      <c r="J58" s="110" t="str">
        <f t="array" ref="J58">IF(I58="","",IFERROR(INDEX(HELPER!$G$8:$G$48,MATCH(I58,HELPER!$F$8:$F$48,-1)),""))</f>
      </c>
      <c r="K58" s="82" t="str">
        <f t="shared" si="1"/>
      </c>
      <c r="L58" s="3"/>
      <c r="M58" s="3"/>
    </row>
    <row r="59" spans="1:13" ht="15" customHeight="1" x14ac:dyDescent="0.15">
      <c r="A59" s="3"/>
      <c r="B59" s="98">
        <v>46</v>
      </c>
      <c r="C59" s="246" t="str">
        <f>IF('INPUT DATA'!K56="","",'INPUT DATA'!K56)</f>
      </c>
      <c r="D59" s="185"/>
      <c r="E59" s="186"/>
      <c r="F59" s="107" t="str">
        <f>IF('TERM 1'!AC63="","",'TERM 1'!AC63)</f>
      </c>
      <c r="G59" s="107" t="str">
        <f>IF('TERM 2'!AC63="","",'TERM 2'!AC63)</f>
      </c>
      <c r="H59" s="108" t="str">
        <f>IF('TERM 3'!AC63="","",'TERM 3'!AC63)</f>
      </c>
      <c r="I59" s="109" t="str">
        <f t="shared" si="0"/>
      </c>
      <c r="J59" s="110" t="str">
        <f t="array" ref="J59">IF(I59="","",IFERROR(INDEX(HELPER!$G$8:$G$48,MATCH(I59,HELPER!$F$8:$F$48,-1)),""))</f>
      </c>
      <c r="K59" s="82" t="str">
        <f t="shared" si="1"/>
      </c>
      <c r="L59" s="3"/>
      <c r="M59" s="3"/>
    </row>
    <row r="60" spans="1:13" ht="15" customHeight="1" x14ac:dyDescent="0.15">
      <c r="A60" s="3"/>
      <c r="B60" s="98">
        <v>47</v>
      </c>
      <c r="C60" s="246" t="str">
        <f>IF('INPUT DATA'!K57="","",'INPUT DATA'!K57)</f>
      </c>
      <c r="D60" s="185"/>
      <c r="E60" s="186"/>
      <c r="F60" s="107" t="str">
        <f>IF('TERM 1'!AC64="","",'TERM 1'!AC64)</f>
      </c>
      <c r="G60" s="107" t="str">
        <f>IF('TERM 2'!AC64="","",'TERM 2'!AC64)</f>
      </c>
      <c r="H60" s="108" t="str">
        <f>IF('TERM 3'!AC64="","",'TERM 3'!AC64)</f>
      </c>
      <c r="I60" s="109" t="str">
        <f t="shared" si="0"/>
      </c>
      <c r="J60" s="110" t="str">
        <f t="array" ref="J60">IF(I60="","",IFERROR(INDEX(HELPER!$G$8:$G$48,MATCH(I60,HELPER!$F$8:$F$48,-1)),""))</f>
      </c>
      <c r="K60" s="82" t="str">
        <f t="shared" si="1"/>
      </c>
      <c r="L60" s="3"/>
      <c r="M60" s="3"/>
    </row>
    <row r="61" spans="1:13" ht="15" customHeight="1" x14ac:dyDescent="0.15">
      <c r="A61" s="3"/>
      <c r="B61" s="98">
        <v>48</v>
      </c>
      <c r="C61" s="246" t="str">
        <f>IF('INPUT DATA'!K58="","",'INPUT DATA'!K58)</f>
      </c>
      <c r="D61" s="185"/>
      <c r="E61" s="186"/>
      <c r="F61" s="107" t="str">
        <f>IF('TERM 1'!AC65="","",'TERM 1'!AC65)</f>
      </c>
      <c r="G61" s="107" t="str">
        <f>IF('TERM 2'!AC65="","",'TERM 2'!AC65)</f>
      </c>
      <c r="H61" s="108" t="str">
        <f>IF('TERM 3'!AC65="","",'TERM 3'!AC65)</f>
      </c>
      <c r="I61" s="109" t="str">
        <f t="shared" si="0"/>
      </c>
      <c r="J61" s="110" t="str">
        <f t="array" ref="J61">IF(I61="","",IFERROR(INDEX(HELPER!$G$8:$G$48,MATCH(I61,HELPER!$F$8:$F$48,-1)),""))</f>
      </c>
      <c r="K61" s="82" t="str">
        <f t="shared" si="1"/>
      </c>
      <c r="L61" s="3"/>
      <c r="M61" s="3"/>
    </row>
    <row r="62" spans="1:13" ht="15" customHeight="1" x14ac:dyDescent="0.15">
      <c r="A62" s="3"/>
      <c r="B62" s="98">
        <v>49</v>
      </c>
      <c r="C62" s="246" t="str">
        <f>IF('INPUT DATA'!K59="","",'INPUT DATA'!K59)</f>
      </c>
      <c r="D62" s="185"/>
      <c r="E62" s="186"/>
      <c r="F62" s="107" t="str">
        <f>IF('TERM 1'!AC66="","",'TERM 1'!AC66)</f>
      </c>
      <c r="G62" s="107" t="str">
        <f>IF('TERM 2'!AC66="","",'TERM 2'!AC66)</f>
      </c>
      <c r="H62" s="108" t="str">
        <f>IF('TERM 3'!AC66="","",'TERM 3'!AC66)</f>
      </c>
      <c r="I62" s="109" t="str">
        <f t="shared" si="0"/>
      </c>
      <c r="J62" s="110" t="str">
        <f t="array" ref="J62">IF(I62="","",IFERROR(INDEX(HELPER!$G$8:$G$48,MATCH(I62,HELPER!$F$8:$F$48,-1)),""))</f>
      </c>
      <c r="K62" s="82" t="str">
        <f t="shared" si="1"/>
      </c>
      <c r="L62" s="3"/>
      <c r="M62" s="3"/>
    </row>
    <row r="63" spans="1:13" ht="15" customHeight="1" x14ac:dyDescent="0.15">
      <c r="A63" s="3"/>
      <c r="B63" s="98">
        <v>50</v>
      </c>
      <c r="C63" s="248" t="str">
        <f>IF('INPUT DATA'!K60="","",'INPUT DATA'!K60)</f>
      </c>
      <c r="D63" s="249"/>
      <c r="E63" s="250"/>
      <c r="F63" s="126" t="str">
        <f>IF('TERM 1'!AC67="","",'TERM 1'!AC67)</f>
      </c>
      <c r="G63" s="126" t="str">
        <f>IF('TERM 2'!AC67="","",'TERM 2'!AC67)</f>
      </c>
      <c r="H63" s="127" t="str">
        <f>IF('TERM 3'!AC67="","",'TERM 3'!AC67)</f>
      </c>
      <c r="I63" s="128" t="str">
        <f t="shared" si="0"/>
      </c>
      <c r="J63" s="129" t="str">
        <f t="array" ref="J63">IF(I63="","",IFERROR(INDEX(HELPER!$G$8:$G$48,MATCH(I63,HELPER!$F$8:$F$48,-1)),""))</f>
      </c>
      <c r="K63" s="116" t="str">
        <f t="shared" si="1"/>
      </c>
      <c r="L63" s="3"/>
      <c r="M63" s="3"/>
    </row>
    <row r="64" spans="1:13" ht="15.75" customHeight="1" x14ac:dyDescent="0.15">
      <c r="A64" s="3"/>
      <c r="B64" s="251" t="s">
        <v>7</v>
      </c>
      <c r="C64" s="196"/>
      <c r="D64" s="196"/>
      <c r="E64" s="196"/>
      <c r="F64" s="196"/>
      <c r="G64" s="196"/>
      <c r="H64" s="196"/>
      <c r="I64" s="196"/>
      <c r="J64" s="196"/>
      <c r="K64" s="197"/>
      <c r="L64" s="3"/>
      <c r="M64" s="3"/>
    </row>
    <row r="65" spans="1:13" ht="15" customHeight="1" x14ac:dyDescent="0.15">
      <c r="A65" s="3"/>
      <c r="B65" s="130">
        <v>1</v>
      </c>
      <c r="C65" s="246" t="str">
        <f>IF('INPUT DATA'!N11="","",'INPUT DATA'!N11)</f>
      </c>
      <c r="D65" s="185"/>
      <c r="E65" s="186"/>
      <c r="F65" s="131">
        <f>IF('TERM 1'!AC69="","",'TERM 1'!AC69)</f>
      </c>
      <c r="G65" s="102" t="str">
        <f>IF('TERM 2'!AC69="","",'TERM 2'!AC69)</f>
      </c>
      <c r="H65" s="103" t="str">
        <f>IF('TERM 3'!AC69="","",'TERM 3'!AC69)</f>
      </c>
      <c r="I65" s="104" t="str">
        <f t="shared" ref="I65:I114" si="2">IF(COUNT(F65,G65,H65)&lt;3,"",ROUND(AVERAGE(F65,G65,H65),0))</f>
      </c>
      <c r="J65" s="133" t="str">
        <f t="array" ref="J65">IF(I65="","",IFERROR(INDEX(HELPER!$G$8:$G$48,MATCH(I65,HELPER!$F$8:$F$48,-1)),""))</f>
      </c>
      <c r="K65" s="68" t="str">
        <f t="shared" ref="K65:K114" si="3">IF(I65="", "", IF(I65&gt;=75, "Passed", "Failed"))</f>
      </c>
      <c r="L65" s="3"/>
      <c r="M65" s="3"/>
    </row>
    <row r="66" spans="1:13" ht="15" customHeight="1" x14ac:dyDescent="0.15">
      <c r="A66" s="3"/>
      <c r="B66" s="125">
        <v>2</v>
      </c>
      <c r="C66" s="246" t="str">
        <f>IF('INPUT DATA'!N12="","",'INPUT DATA'!N12)</f>
      </c>
      <c r="D66" s="185"/>
      <c r="E66" s="186"/>
      <c r="F66" s="107">
        <f>IF('TERM 1'!AC70="","",'TERM 1'!AC70)</f>
      </c>
      <c r="G66" s="107" t="str">
        <f>IF('TERM 2'!AC70="","",'TERM 2'!AC70)</f>
      </c>
      <c r="H66" s="108" t="str">
        <f>IF('TERM 3'!AC70="","",'TERM 3'!AC70)</f>
      </c>
      <c r="I66" s="109" t="str">
        <f t="shared" si="2"/>
      </c>
      <c r="J66" s="134" t="str">
        <f t="array" ref="J66">IF(I66="","",IFERROR(INDEX(HELPER!$G$8:$G$48,MATCH(I66,HELPER!$F$8:$F$48,-1)),""))</f>
      </c>
      <c r="K66" s="82" t="str">
        <f t="shared" si="3"/>
      </c>
      <c r="L66" s="3"/>
      <c r="M66" s="3"/>
    </row>
    <row r="67" spans="1:13" ht="15" customHeight="1" x14ac:dyDescent="0.15">
      <c r="A67" s="3"/>
      <c r="B67" s="125">
        <v>3</v>
      </c>
      <c r="C67" s="246" t="str">
        <f>IF('INPUT DATA'!N13="","",'INPUT DATA'!N13)</f>
      </c>
      <c r="D67" s="185"/>
      <c r="E67" s="186"/>
      <c r="F67" s="107">
        <f>IF('TERM 1'!AC71="","",'TERM 1'!AC71)</f>
      </c>
      <c r="G67" s="107" t="str">
        <f>IF('TERM 2'!AC71="","",'TERM 2'!AC71)</f>
      </c>
      <c r="H67" s="108" t="str">
        <f>IF('TERM 3'!AC71="","",'TERM 3'!AC71)</f>
      </c>
      <c r="I67" s="109" t="str">
        <f t="shared" si="2"/>
      </c>
      <c r="J67" s="134" t="str">
        <f t="array" ref="J67">IF(I67="","",IFERROR(INDEX(HELPER!$G$8:$G$48,MATCH(I67,HELPER!$F$8:$F$48,-1)),""))</f>
      </c>
      <c r="K67" s="82" t="str">
        <f t="shared" si="3"/>
      </c>
      <c r="L67" s="3"/>
      <c r="M67" s="3"/>
    </row>
    <row r="68" spans="1:13" ht="15" customHeight="1" x14ac:dyDescent="0.15">
      <c r="A68" s="3"/>
      <c r="B68" s="125">
        <v>4</v>
      </c>
      <c r="C68" s="246" t="str">
        <f>IF('INPUT DATA'!N14="","",'INPUT DATA'!N14)</f>
      </c>
      <c r="D68" s="185"/>
      <c r="E68" s="186"/>
      <c r="F68" s="107">
        <f>IF('TERM 1'!AC72="","",'TERM 1'!AC72)</f>
      </c>
      <c r="G68" s="107" t="str">
        <f>IF('TERM 2'!AC72="","",'TERM 2'!AC72)</f>
      </c>
      <c r="H68" s="108" t="str">
        <f>IF('TERM 3'!AC72="","",'TERM 3'!AC72)</f>
      </c>
      <c r="I68" s="109" t="str">
        <f t="shared" si="2"/>
      </c>
      <c r="J68" s="134" t="str">
        <f t="array" ref="J68">IF(I68="","",IFERROR(INDEX(HELPER!$G$8:$G$48,MATCH(I68,HELPER!$F$8:$F$48,-1)),""))</f>
      </c>
      <c r="K68" s="82" t="str">
        <f t="shared" si="3"/>
      </c>
      <c r="L68" s="3"/>
      <c r="M68" s="3"/>
    </row>
    <row r="69" spans="1:13" ht="15" customHeight="1" x14ac:dyDescent="0.15">
      <c r="A69" s="3"/>
      <c r="B69" s="125">
        <v>5</v>
      </c>
      <c r="C69" s="246" t="str">
        <f>IF('INPUT DATA'!N15="","",'INPUT DATA'!N15)</f>
      </c>
      <c r="D69" s="185"/>
      <c r="E69" s="186"/>
      <c r="F69" s="107">
        <f>IF('TERM 1'!AC73="","",'TERM 1'!AC73)</f>
      </c>
      <c r="G69" s="107" t="str">
        <f>IF('TERM 2'!AC73="","",'TERM 2'!AC73)</f>
      </c>
      <c r="H69" s="108" t="str">
        <f>IF('TERM 3'!AC73="","",'TERM 3'!AC73)</f>
      </c>
      <c r="I69" s="109" t="str">
        <f t="shared" si="2"/>
      </c>
      <c r="J69" s="134" t="str">
        <f t="array" ref="J69">IF(I69="","",IFERROR(INDEX(HELPER!$G$8:$G$48,MATCH(I69,HELPER!$F$8:$F$48,-1)),""))</f>
      </c>
      <c r="K69" s="82" t="str">
        <f t="shared" si="3"/>
      </c>
      <c r="L69" s="3"/>
      <c r="M69" s="3"/>
    </row>
    <row r="70" spans="1:13" ht="15" customHeight="1" x14ac:dyDescent="0.15">
      <c r="A70" s="3"/>
      <c r="B70" s="125">
        <v>6</v>
      </c>
      <c r="C70" s="246" t="str">
        <f>IF('INPUT DATA'!N16="","",'INPUT DATA'!N16)</f>
      </c>
      <c r="D70" s="185"/>
      <c r="E70" s="186"/>
      <c r="F70" s="107">
        <f>IF('TERM 1'!AC74="","",'TERM 1'!AC74)</f>
      </c>
      <c r="G70" s="107" t="str">
        <f>IF('TERM 2'!AC74="","",'TERM 2'!AC74)</f>
      </c>
      <c r="H70" s="108" t="str">
        <f>IF('TERM 3'!AC74="","",'TERM 3'!AC74)</f>
      </c>
      <c r="I70" s="109" t="str">
        <f t="shared" si="2"/>
      </c>
      <c r="J70" s="134" t="str">
        <f t="array" ref="J70">IF(I70="","",IFERROR(INDEX(HELPER!$G$8:$G$48,MATCH(I70,HELPER!$F$8:$F$48,-1)),""))</f>
      </c>
      <c r="K70" s="82" t="str">
        <f t="shared" si="3"/>
      </c>
      <c r="L70" s="3"/>
      <c r="M70" s="3"/>
    </row>
    <row r="71" spans="1:13" ht="15" customHeight="1" x14ac:dyDescent="0.15">
      <c r="A71" s="3"/>
      <c r="B71" s="125">
        <v>7</v>
      </c>
      <c r="C71" s="246" t="str">
        <f>IF('INPUT DATA'!N17="","",'INPUT DATA'!N17)</f>
      </c>
      <c r="D71" s="185"/>
      <c r="E71" s="186"/>
      <c r="F71" s="107">
        <f>IF('TERM 1'!AC75="","",'TERM 1'!AC75)</f>
      </c>
      <c r="G71" s="107" t="str">
        <f>IF('TERM 2'!AC75="","",'TERM 2'!AC75)</f>
      </c>
      <c r="H71" s="108" t="str">
        <f>IF('TERM 3'!AC75="","",'TERM 3'!AC75)</f>
      </c>
      <c r="I71" s="109" t="str">
        <f t="shared" si="2"/>
      </c>
      <c r="J71" s="134" t="str">
        <f t="array" ref="J71">IF(I71="","",IFERROR(INDEX(HELPER!$G$8:$G$48,MATCH(I71,HELPER!$F$8:$F$48,-1)),""))</f>
      </c>
      <c r="K71" s="82" t="str">
        <f t="shared" si="3"/>
      </c>
      <c r="L71" s="3"/>
      <c r="M71" s="3"/>
    </row>
    <row r="72" spans="1:13" ht="15" customHeight="1" x14ac:dyDescent="0.15">
      <c r="A72" s="3"/>
      <c r="B72" s="125">
        <v>8</v>
      </c>
      <c r="C72" s="246" t="str">
        <f>IF('INPUT DATA'!N18="","",'INPUT DATA'!N18)</f>
      </c>
      <c r="D72" s="185"/>
      <c r="E72" s="186"/>
      <c r="F72" s="107">
        <f>IF('TERM 1'!AC76="","",'TERM 1'!AC76)</f>
      </c>
      <c r="G72" s="107" t="str">
        <f>IF('TERM 2'!AC76="","",'TERM 2'!AC76)</f>
      </c>
      <c r="H72" s="108" t="str">
        <f>IF('TERM 3'!AC76="","",'TERM 3'!AC76)</f>
      </c>
      <c r="I72" s="109" t="str">
        <f t="shared" si="2"/>
      </c>
      <c r="J72" s="134" t="str">
        <f t="array" ref="J72">IF(I72="","",IFERROR(INDEX(HELPER!$G$8:$G$48,MATCH(I72,HELPER!$F$8:$F$48,-1)),""))</f>
      </c>
      <c r="K72" s="82" t="str">
        <f t="shared" si="3"/>
      </c>
      <c r="L72" s="3"/>
      <c r="M72" s="3"/>
    </row>
    <row r="73" spans="1:13" ht="15" customHeight="1" x14ac:dyDescent="0.15">
      <c r="A73" s="3"/>
      <c r="B73" s="125">
        <v>9</v>
      </c>
      <c r="C73" s="246" t="str">
        <f>IF('INPUT DATA'!N19="","",'INPUT DATA'!N19)</f>
      </c>
      <c r="D73" s="185"/>
      <c r="E73" s="186"/>
      <c r="F73" s="107">
        <f>IF('TERM 1'!AC77="","",'TERM 1'!AC77)</f>
      </c>
      <c r="G73" s="107" t="str">
        <f>IF('TERM 2'!AC77="","",'TERM 2'!AC77)</f>
      </c>
      <c r="H73" s="108" t="str">
        <f>IF('TERM 3'!AC77="","",'TERM 3'!AC77)</f>
      </c>
      <c r="I73" s="109" t="str">
        <f t="shared" si="2"/>
      </c>
      <c r="J73" s="134" t="str">
        <f t="array" ref="J73">IF(I73="","",IFERROR(INDEX(HELPER!$G$8:$G$48,MATCH(I73,HELPER!$F$8:$F$48,-1)),""))</f>
      </c>
      <c r="K73" s="82" t="str">
        <f t="shared" si="3"/>
      </c>
      <c r="L73" s="3"/>
      <c r="M73" s="3"/>
    </row>
    <row r="74" spans="1:13" ht="15" customHeight="1" x14ac:dyDescent="0.15">
      <c r="A74" s="3"/>
      <c r="B74" s="125">
        <v>10</v>
      </c>
      <c r="C74" s="246" t="str">
        <f>IF('INPUT DATA'!N20="","",'INPUT DATA'!N20)</f>
      </c>
      <c r="D74" s="185"/>
      <c r="E74" s="186"/>
      <c r="F74" s="107">
        <f>IF('TERM 1'!AC78="","",'TERM 1'!AC78)</f>
      </c>
      <c r="G74" s="107" t="str">
        <f>IF('TERM 2'!AC78="","",'TERM 2'!AC78)</f>
      </c>
      <c r="H74" s="108" t="str">
        <f>IF('TERM 3'!AC78="","",'TERM 3'!AC78)</f>
      </c>
      <c r="I74" s="109" t="str">
        <f t="shared" si="2"/>
      </c>
      <c r="J74" s="134" t="str">
        <f t="array" ref="J74">IF(I74="","",IFERROR(INDEX(HELPER!$G$8:$G$48,MATCH(I74,HELPER!$F$8:$F$48,-1)),""))</f>
      </c>
      <c r="K74" s="82" t="str">
        <f t="shared" si="3"/>
      </c>
      <c r="L74" s="3"/>
      <c r="M74" s="3"/>
    </row>
    <row r="75" spans="1:13" ht="15" customHeight="1" x14ac:dyDescent="0.15">
      <c r="A75" s="3"/>
      <c r="B75" s="125">
        <v>11</v>
      </c>
      <c r="C75" s="246" t="str">
        <f>IF('INPUT DATA'!N21="","",'INPUT DATA'!N21)</f>
      </c>
      <c r="D75" s="185"/>
      <c r="E75" s="186"/>
      <c r="F75" s="107">
        <f>IF('TERM 1'!AC79="","",'TERM 1'!AC79)</f>
      </c>
      <c r="G75" s="107" t="str">
        <f>IF('TERM 2'!AC79="","",'TERM 2'!AC79)</f>
      </c>
      <c r="H75" s="108" t="str">
        <f>IF('TERM 3'!AC79="","",'TERM 3'!AC79)</f>
      </c>
      <c r="I75" s="109" t="str">
        <f t="shared" si="2"/>
      </c>
      <c r="J75" s="134" t="str">
        <f t="array" ref="J75">IF(I75="","",IFERROR(INDEX(HELPER!$G$8:$G$48,MATCH(I75,HELPER!$F$8:$F$48,-1)),""))</f>
      </c>
      <c r="K75" s="82" t="str">
        <f t="shared" si="3"/>
      </c>
      <c r="L75" s="3"/>
      <c r="M75" s="3"/>
    </row>
    <row r="76" spans="1:13" ht="15" customHeight="1" x14ac:dyDescent="0.15">
      <c r="A76" s="3"/>
      <c r="B76" s="125">
        <v>12</v>
      </c>
      <c r="C76" s="246" t="str">
        <f>IF('INPUT DATA'!N22="","",'INPUT DATA'!N22)</f>
      </c>
      <c r="D76" s="185"/>
      <c r="E76" s="186"/>
      <c r="F76" s="107">
        <f>IF('TERM 1'!AC80="","",'TERM 1'!AC80)</f>
      </c>
      <c r="G76" s="107" t="str">
        <f>IF('TERM 2'!AC80="","",'TERM 2'!AC80)</f>
      </c>
      <c r="H76" s="108" t="str">
        <f>IF('TERM 3'!AC80="","",'TERM 3'!AC80)</f>
      </c>
      <c r="I76" s="109" t="str">
        <f t="shared" si="2"/>
      </c>
      <c r="J76" s="134" t="str">
        <f t="array" ref="J76">IF(I76="","",IFERROR(INDEX(HELPER!$G$8:$G$48,MATCH(I76,HELPER!$F$8:$F$48,-1)),""))</f>
      </c>
      <c r="K76" s="82" t="str">
        <f t="shared" si="3"/>
      </c>
      <c r="L76" s="3"/>
      <c r="M76" s="3"/>
    </row>
    <row r="77" spans="1:13" ht="15" customHeight="1" x14ac:dyDescent="0.15">
      <c r="A77" s="3"/>
      <c r="B77" s="125">
        <v>13</v>
      </c>
      <c r="C77" s="246" t="str">
        <f>IF('INPUT DATA'!N23="","",'INPUT DATA'!N23)</f>
      </c>
      <c r="D77" s="185"/>
      <c r="E77" s="186"/>
      <c r="F77" s="107">
        <f>IF('TERM 1'!AC81="","",'TERM 1'!AC81)</f>
      </c>
      <c r="G77" s="107" t="str">
        <f>IF('TERM 2'!AC81="","",'TERM 2'!AC81)</f>
      </c>
      <c r="H77" s="108" t="str">
        <f>IF('TERM 3'!AC81="","",'TERM 3'!AC81)</f>
      </c>
      <c r="I77" s="109" t="str">
        <f t="shared" si="2"/>
      </c>
      <c r="J77" s="134" t="str">
        <f t="array" ref="J77">IF(I77="","",IFERROR(INDEX(HELPER!$G$8:$G$48,MATCH(I77,HELPER!$F$8:$F$48,-1)),""))</f>
      </c>
      <c r="K77" s="82" t="str">
        <f t="shared" si="3"/>
      </c>
      <c r="L77" s="3"/>
      <c r="M77" s="3"/>
    </row>
    <row r="78" spans="1:13" ht="15" customHeight="1" x14ac:dyDescent="0.15">
      <c r="A78" s="3"/>
      <c r="B78" s="125">
        <v>14</v>
      </c>
      <c r="C78" s="246" t="str">
        <f>IF('INPUT DATA'!N24="","",'INPUT DATA'!N24)</f>
      </c>
      <c r="D78" s="185"/>
      <c r="E78" s="186"/>
      <c r="F78" s="107">
        <f>IF('TERM 1'!AC82="","",'TERM 1'!AC82)</f>
      </c>
      <c r="G78" s="107" t="str">
        <f>IF('TERM 2'!AC82="","",'TERM 2'!AC82)</f>
      </c>
      <c r="H78" s="108" t="str">
        <f>IF('TERM 3'!AC82="","",'TERM 3'!AC82)</f>
      </c>
      <c r="I78" s="109" t="str">
        <f t="shared" si="2"/>
      </c>
      <c r="J78" s="134" t="str">
        <f t="array" ref="J78">IF(I78="","",IFERROR(INDEX(HELPER!$G$8:$G$48,MATCH(I78,HELPER!$F$8:$F$48,-1)),""))</f>
      </c>
      <c r="K78" s="82" t="str">
        <f t="shared" si="3"/>
      </c>
      <c r="L78" s="3"/>
      <c r="M78" s="3"/>
    </row>
    <row r="79" spans="1:13" ht="15" customHeight="1" x14ac:dyDescent="0.15">
      <c r="A79" s="3"/>
      <c r="B79" s="125">
        <v>15</v>
      </c>
      <c r="C79" s="246" t="str">
        <f>IF('INPUT DATA'!N25="","",'INPUT DATA'!N25)</f>
      </c>
      <c r="D79" s="185"/>
      <c r="E79" s="186"/>
      <c r="F79" s="107">
        <f>IF('TERM 1'!AC83="","",'TERM 1'!AC83)</f>
      </c>
      <c r="G79" s="107" t="str">
        <f>IF('TERM 2'!AC83="","",'TERM 2'!AC83)</f>
      </c>
      <c r="H79" s="108" t="str">
        <f>IF('TERM 3'!AC83="","",'TERM 3'!AC83)</f>
      </c>
      <c r="I79" s="109" t="str">
        <f t="shared" si="2"/>
      </c>
      <c r="J79" s="134" t="str">
        <f t="array" ref="J79">IF(I79="","",IFERROR(INDEX(HELPER!$G$8:$G$48,MATCH(I79,HELPER!$F$8:$F$48,-1)),""))</f>
      </c>
      <c r="K79" s="82" t="str">
        <f t="shared" si="3"/>
      </c>
      <c r="L79" s="3"/>
      <c r="M79" s="3"/>
    </row>
    <row r="80" spans="1:13" ht="15" customHeight="1" x14ac:dyDescent="0.15">
      <c r="A80" s="3"/>
      <c r="B80" s="125">
        <v>16</v>
      </c>
      <c r="C80" s="246" t="str">
        <f>IF('INPUT DATA'!N26="","",'INPUT DATA'!N26)</f>
      </c>
      <c r="D80" s="185"/>
      <c r="E80" s="186"/>
      <c r="F80" s="107">
        <f>IF('TERM 1'!AC84="","",'TERM 1'!AC84)</f>
      </c>
      <c r="G80" s="107" t="str">
        <f>IF('TERM 2'!AC84="","",'TERM 2'!AC84)</f>
      </c>
      <c r="H80" s="108" t="str">
        <f>IF('TERM 3'!AC84="","",'TERM 3'!AC84)</f>
      </c>
      <c r="I80" s="109" t="str">
        <f t="shared" si="2"/>
      </c>
      <c r="J80" s="134" t="str">
        <f t="array" ref="J80">IF(I80="","",IFERROR(INDEX(HELPER!$G$8:$G$48,MATCH(I80,HELPER!$F$8:$F$48,-1)),""))</f>
      </c>
      <c r="K80" s="82" t="str">
        <f t="shared" si="3"/>
      </c>
      <c r="L80" s="3"/>
      <c r="M80" s="3"/>
    </row>
    <row r="81" spans="1:13" ht="15" customHeight="1" x14ac:dyDescent="0.15">
      <c r="A81" s="3"/>
      <c r="B81" s="125">
        <v>17</v>
      </c>
      <c r="C81" s="246" t="str">
        <f>IF('INPUT DATA'!N27="","",'INPUT DATA'!N27)</f>
      </c>
      <c r="D81" s="185"/>
      <c r="E81" s="186"/>
      <c r="F81" s="107" t="str">
        <f>IF('TERM 1'!AC85="","",'TERM 1'!AC85)</f>
      </c>
      <c r="G81" s="107" t="str">
        <f>IF('TERM 2'!AC85="","",'TERM 2'!AC85)</f>
      </c>
      <c r="H81" s="108" t="str">
        <f>IF('TERM 3'!AC85="","",'TERM 3'!AC85)</f>
      </c>
      <c r="I81" s="109" t="str">
        <f t="shared" si="2"/>
      </c>
      <c r="J81" s="134" t="str">
        <f t="array" ref="J81">IF(I81="","",IFERROR(INDEX(HELPER!$G$8:$G$48,MATCH(I81,HELPER!$F$8:$F$48,-1)),""))</f>
      </c>
      <c r="K81" s="82" t="str">
        <f t="shared" si="3"/>
      </c>
      <c r="L81" s="3"/>
      <c r="M81" s="3"/>
    </row>
    <row r="82" spans="1:13" ht="15" customHeight="1" x14ac:dyDescent="0.15">
      <c r="A82" s="3"/>
      <c r="B82" s="125">
        <v>18</v>
      </c>
      <c r="C82" s="246" t="str">
        <f>IF('INPUT DATA'!N28="","",'INPUT DATA'!N28)</f>
      </c>
      <c r="D82" s="185"/>
      <c r="E82" s="186"/>
      <c r="F82" s="107" t="str">
        <f>IF('TERM 1'!AC86="","",'TERM 1'!AC86)</f>
      </c>
      <c r="G82" s="107" t="str">
        <f>IF('TERM 2'!AC86="","",'TERM 2'!AC86)</f>
      </c>
      <c r="H82" s="108" t="str">
        <f>IF('TERM 3'!AC86="","",'TERM 3'!AC86)</f>
      </c>
      <c r="I82" s="109" t="str">
        <f t="shared" si="2"/>
      </c>
      <c r="J82" s="134" t="str">
        <f t="array" ref="J82">IF(I82="","",IFERROR(INDEX(HELPER!$G$8:$G$48,MATCH(I82,HELPER!$F$8:$F$48,-1)),""))</f>
      </c>
      <c r="K82" s="82" t="str">
        <f t="shared" si="3"/>
      </c>
      <c r="L82" s="3"/>
      <c r="M82" s="3"/>
    </row>
    <row r="83" spans="1:13" ht="15" customHeight="1" x14ac:dyDescent="0.15">
      <c r="A83" s="3"/>
      <c r="B83" s="125">
        <v>19</v>
      </c>
      <c r="C83" s="246" t="str">
        <f>IF('INPUT DATA'!N29="","",'INPUT DATA'!N29)</f>
      </c>
      <c r="D83" s="185"/>
      <c r="E83" s="186"/>
      <c r="F83" s="107" t="str">
        <f>IF('TERM 1'!AC87="","",'TERM 1'!AC87)</f>
      </c>
      <c r="G83" s="107" t="str">
        <f>IF('TERM 2'!AC87="","",'TERM 2'!AC87)</f>
      </c>
      <c r="H83" s="108" t="str">
        <f>IF('TERM 3'!AC87="","",'TERM 3'!AC87)</f>
      </c>
      <c r="I83" s="109" t="str">
        <f t="shared" si="2"/>
      </c>
      <c r="J83" s="134" t="str">
        <f t="array" ref="J83">IF(I83="","",IFERROR(INDEX(HELPER!$G$8:$G$48,MATCH(I83,HELPER!$F$8:$F$48,-1)),""))</f>
      </c>
      <c r="K83" s="82" t="str">
        <f t="shared" si="3"/>
      </c>
      <c r="L83" s="3"/>
      <c r="M83" s="3"/>
    </row>
    <row r="84" spans="1:13" ht="15" customHeight="1" x14ac:dyDescent="0.15">
      <c r="A84" s="3"/>
      <c r="B84" s="132">
        <v>20</v>
      </c>
      <c r="C84" s="246" t="str">
        <f>IF('INPUT DATA'!N30="","",'INPUT DATA'!N30)</f>
      </c>
      <c r="D84" s="185"/>
      <c r="E84" s="186"/>
      <c r="F84" s="107" t="str">
        <f>IF('TERM 1'!AC88="","",'TERM 1'!AC88)</f>
      </c>
      <c r="G84" s="107" t="str">
        <f>IF('TERM 2'!AC88="","",'TERM 2'!AC88)</f>
      </c>
      <c r="H84" s="108" t="str">
        <f>IF('TERM 3'!AC88="","",'TERM 3'!AC88)</f>
      </c>
      <c r="I84" s="109" t="str">
        <f t="shared" si="2"/>
      </c>
      <c r="J84" s="134" t="str">
        <f t="array" ref="J84">IF(I84="","",IFERROR(INDEX(HELPER!$G$8:$G$48,MATCH(I84,HELPER!$F$8:$F$48,-1)),""))</f>
      </c>
      <c r="K84" s="82" t="str">
        <f t="shared" si="3"/>
      </c>
      <c r="L84" s="3"/>
      <c r="M84" s="3"/>
    </row>
    <row r="85" spans="1:13" ht="15" customHeight="1" x14ac:dyDescent="0.15">
      <c r="A85" s="3"/>
      <c r="B85" s="132">
        <v>21</v>
      </c>
      <c r="C85" s="246" t="str">
        <f>IF('INPUT DATA'!N31="","",'INPUT DATA'!N31)</f>
      </c>
      <c r="D85" s="185"/>
      <c r="E85" s="186"/>
      <c r="F85" s="107" t="str">
        <f>IF('TERM 1'!AC89="","",'TERM 1'!AC89)</f>
      </c>
      <c r="G85" s="107" t="str">
        <f>IF('TERM 2'!AC89="","",'TERM 2'!AC89)</f>
      </c>
      <c r="H85" s="108" t="str">
        <f>IF('TERM 3'!AC89="","",'TERM 3'!AC89)</f>
      </c>
      <c r="I85" s="109" t="str">
        <f t="shared" si="2"/>
      </c>
      <c r="J85" s="134" t="str">
        <f t="array" ref="J85">IF(I85="","",IFERROR(INDEX(HELPER!$G$8:$G$48,MATCH(I85,HELPER!$F$8:$F$48,-1)),""))</f>
      </c>
      <c r="K85" s="82" t="str">
        <f t="shared" si="3"/>
      </c>
      <c r="L85" s="3"/>
      <c r="M85" s="3"/>
    </row>
    <row r="86" spans="1:13" ht="15" customHeight="1" x14ac:dyDescent="0.15">
      <c r="A86" s="3"/>
      <c r="B86" s="132">
        <v>22</v>
      </c>
      <c r="C86" s="246" t="str">
        <f>IF('INPUT DATA'!N32="","",'INPUT DATA'!N32)</f>
      </c>
      <c r="D86" s="185"/>
      <c r="E86" s="186"/>
      <c r="F86" s="107" t="str">
        <f>IF('TERM 1'!AC90="","",'TERM 1'!AC90)</f>
      </c>
      <c r="G86" s="107" t="str">
        <f>IF('TERM 2'!AC90="","",'TERM 2'!AC90)</f>
      </c>
      <c r="H86" s="108" t="str">
        <f>IF('TERM 3'!AC90="","",'TERM 3'!AC90)</f>
      </c>
      <c r="I86" s="109" t="str">
        <f t="shared" si="2"/>
      </c>
      <c r="J86" s="134" t="str">
        <f t="array" ref="J86">IF(I86="","",IFERROR(INDEX(HELPER!$G$8:$G$48,MATCH(I86,HELPER!$F$8:$F$48,-1)),""))</f>
      </c>
      <c r="K86" s="82" t="str">
        <f t="shared" si="3"/>
      </c>
      <c r="L86" s="3"/>
      <c r="M86" s="3"/>
    </row>
    <row r="87" spans="1:13" ht="15" customHeight="1" x14ac:dyDescent="0.15">
      <c r="A87" s="3"/>
      <c r="B87" s="132">
        <v>23</v>
      </c>
      <c r="C87" s="246" t="str">
        <f>IF('INPUT DATA'!N33="","",'INPUT DATA'!N33)</f>
      </c>
      <c r="D87" s="185"/>
      <c r="E87" s="186"/>
      <c r="F87" s="107" t="str">
        <f>IF('TERM 1'!AC91="","",'TERM 1'!AC91)</f>
      </c>
      <c r="G87" s="107" t="str">
        <f>IF('TERM 2'!AC91="","",'TERM 2'!AC91)</f>
      </c>
      <c r="H87" s="108" t="str">
        <f>IF('TERM 3'!AC91="","",'TERM 3'!AC91)</f>
      </c>
      <c r="I87" s="109" t="str">
        <f t="shared" si="2"/>
      </c>
      <c r="J87" s="134" t="str">
        <f t="array" ref="J87">IF(I87="","",IFERROR(INDEX(HELPER!$G$8:$G$48,MATCH(I87,HELPER!$F$8:$F$48,-1)),""))</f>
      </c>
      <c r="K87" s="82" t="str">
        <f t="shared" si="3"/>
      </c>
      <c r="L87" s="3"/>
      <c r="M87" s="3"/>
    </row>
    <row r="88" spans="1:13" ht="15" customHeight="1" x14ac:dyDescent="0.15">
      <c r="A88" s="3"/>
      <c r="B88" s="132">
        <v>24</v>
      </c>
      <c r="C88" s="246" t="str">
        <f>IF('INPUT DATA'!N34="","",'INPUT DATA'!N34)</f>
      </c>
      <c r="D88" s="185"/>
      <c r="E88" s="186"/>
      <c r="F88" s="107" t="str">
        <f>IF('TERM 1'!AC92="","",'TERM 1'!AC92)</f>
      </c>
      <c r="G88" s="107" t="str">
        <f>IF('TERM 2'!AC92="","",'TERM 2'!AC92)</f>
      </c>
      <c r="H88" s="108" t="str">
        <f>IF('TERM 3'!AC92="","",'TERM 3'!AC92)</f>
      </c>
      <c r="I88" s="109" t="str">
        <f t="shared" si="2"/>
      </c>
      <c r="J88" s="134" t="str">
        <f t="array" ref="J88">IF(I88="","",IFERROR(INDEX(HELPER!$G$8:$G$48,MATCH(I88,HELPER!$F$8:$F$48,-1)),""))</f>
      </c>
      <c r="K88" s="82" t="str">
        <f t="shared" si="3"/>
      </c>
      <c r="L88" s="3"/>
      <c r="M88" s="3"/>
    </row>
    <row r="89" spans="1:13" ht="15" customHeight="1" x14ac:dyDescent="0.15">
      <c r="A89" s="3"/>
      <c r="B89" s="132">
        <v>25</v>
      </c>
      <c r="C89" s="246" t="str">
        <f>IF('INPUT DATA'!N35="","",'INPUT DATA'!N35)</f>
      </c>
      <c r="D89" s="185"/>
      <c r="E89" s="186"/>
      <c r="F89" s="107" t="str">
        <f>IF('TERM 1'!AC93="","",'TERM 1'!AC93)</f>
      </c>
      <c r="G89" s="107" t="str">
        <f>IF('TERM 2'!AC93="","",'TERM 2'!AC93)</f>
      </c>
      <c r="H89" s="108" t="str">
        <f>IF('TERM 3'!AC93="","",'TERM 3'!AC93)</f>
      </c>
      <c r="I89" s="109" t="str">
        <f t="shared" si="2"/>
      </c>
      <c r="J89" s="134" t="str">
        <f t="array" ref="J89">IF(I89="","",IFERROR(INDEX(HELPER!$G$8:$G$48,MATCH(I89,HELPER!$F$8:$F$48,-1)),""))</f>
      </c>
      <c r="K89" s="82" t="str">
        <f t="shared" si="3"/>
      </c>
      <c r="L89" s="3"/>
      <c r="M89" s="3"/>
    </row>
    <row r="90" spans="1:13" ht="15" customHeight="1" x14ac:dyDescent="0.15">
      <c r="A90" s="3"/>
      <c r="B90" s="132">
        <v>26</v>
      </c>
      <c r="C90" s="246" t="str">
        <f>IF('INPUT DATA'!N36="","",'INPUT DATA'!N36)</f>
      </c>
      <c r="D90" s="185"/>
      <c r="E90" s="186"/>
      <c r="F90" s="107" t="str">
        <f>IF('TERM 1'!AC94="","",'TERM 1'!AC94)</f>
      </c>
      <c r="G90" s="107" t="str">
        <f>IF('TERM 2'!AC94="","",'TERM 2'!AC94)</f>
      </c>
      <c r="H90" s="108" t="str">
        <f>IF('TERM 3'!AC94="","",'TERM 3'!AC94)</f>
      </c>
      <c r="I90" s="109" t="str">
        <f t="shared" si="2"/>
      </c>
      <c r="J90" s="134" t="str">
        <f t="array" ref="J90">IF(I90="","",IFERROR(INDEX(HELPER!$G$8:$G$48,MATCH(I90,HELPER!$F$8:$F$48,-1)),""))</f>
      </c>
      <c r="K90" s="82" t="str">
        <f t="shared" si="3"/>
      </c>
      <c r="L90" s="3"/>
      <c r="M90" s="3"/>
    </row>
    <row r="91" spans="1:13" ht="15" customHeight="1" x14ac:dyDescent="0.15">
      <c r="A91" s="3"/>
      <c r="B91" s="132">
        <v>27</v>
      </c>
      <c r="C91" s="246" t="str">
        <f>IF('INPUT DATA'!N37="","",'INPUT DATA'!N37)</f>
      </c>
      <c r="D91" s="185"/>
      <c r="E91" s="186"/>
      <c r="F91" s="107" t="str">
        <f>IF('TERM 1'!AC95="","",'TERM 1'!AC95)</f>
      </c>
      <c r="G91" s="107" t="str">
        <f>IF('TERM 2'!AC95="","",'TERM 2'!AC95)</f>
      </c>
      <c r="H91" s="108" t="str">
        <f>IF('TERM 3'!AC95="","",'TERM 3'!AC95)</f>
      </c>
      <c r="I91" s="109" t="str">
        <f t="shared" si="2"/>
      </c>
      <c r="J91" s="134" t="str">
        <f t="array" ref="J91">IF(I91="","",IFERROR(INDEX(HELPER!$G$8:$G$48,MATCH(I91,HELPER!$F$8:$F$48,-1)),""))</f>
      </c>
      <c r="K91" s="82" t="str">
        <f t="shared" si="3"/>
      </c>
      <c r="L91" s="3"/>
      <c r="M91" s="3"/>
    </row>
    <row r="92" spans="1:13" ht="15" customHeight="1" x14ac:dyDescent="0.15">
      <c r="A92" s="3"/>
      <c r="B92" s="132">
        <v>28</v>
      </c>
      <c r="C92" s="246" t="str">
        <f>IF('INPUT DATA'!N38="","",'INPUT DATA'!N38)</f>
      </c>
      <c r="D92" s="185"/>
      <c r="E92" s="186"/>
      <c r="F92" s="107" t="str">
        <f>IF('TERM 1'!AC96="","",'TERM 1'!AC96)</f>
      </c>
      <c r="G92" s="107" t="str">
        <f>IF('TERM 2'!AC96="","",'TERM 2'!AC96)</f>
      </c>
      <c r="H92" s="108" t="str">
        <f>IF('TERM 3'!AC96="","",'TERM 3'!AC96)</f>
      </c>
      <c r="I92" s="109" t="str">
        <f t="shared" si="2"/>
      </c>
      <c r="J92" s="134" t="str">
        <f t="array" ref="J92">IF(I92="","",IFERROR(INDEX(HELPER!$G$8:$G$48,MATCH(I92,HELPER!$F$8:$F$48,-1)),""))</f>
      </c>
      <c r="K92" s="82" t="str">
        <f t="shared" si="3"/>
      </c>
      <c r="L92" s="3"/>
      <c r="M92" s="3"/>
    </row>
    <row r="93" spans="1:13" ht="15" customHeight="1" x14ac:dyDescent="0.15">
      <c r="A93" s="3"/>
      <c r="B93" s="132">
        <v>29</v>
      </c>
      <c r="C93" s="246" t="str">
        <f>IF('INPUT DATA'!N39="","",'INPUT DATA'!N39)</f>
      </c>
      <c r="D93" s="185"/>
      <c r="E93" s="186"/>
      <c r="F93" s="107" t="str">
        <f>IF('TERM 1'!AC97="","",'TERM 1'!AC97)</f>
      </c>
      <c r="G93" s="107" t="str">
        <f>IF('TERM 2'!AC97="","",'TERM 2'!AC97)</f>
      </c>
      <c r="H93" s="108" t="str">
        <f>IF('TERM 3'!AC97="","",'TERM 3'!AC97)</f>
      </c>
      <c r="I93" s="109" t="str">
        <f t="shared" si="2"/>
      </c>
      <c r="J93" s="134" t="str">
        <f t="array" ref="J93">IF(I93="","",IFERROR(INDEX(HELPER!$G$8:$G$48,MATCH(I93,HELPER!$F$8:$F$48,-1)),""))</f>
      </c>
      <c r="K93" s="82" t="str">
        <f t="shared" si="3"/>
      </c>
      <c r="L93" s="3"/>
      <c r="M93" s="3"/>
    </row>
    <row r="94" spans="1:13" ht="15" customHeight="1" x14ac:dyDescent="0.15">
      <c r="A94" s="3"/>
      <c r="B94" s="132">
        <v>30</v>
      </c>
      <c r="C94" s="246" t="str">
        <f>IF('INPUT DATA'!N40="","",'INPUT DATA'!N40)</f>
      </c>
      <c r="D94" s="185"/>
      <c r="E94" s="186"/>
      <c r="F94" s="107" t="str">
        <f>IF('TERM 1'!AC98="","",'TERM 1'!AC98)</f>
      </c>
      <c r="G94" s="107" t="str">
        <f>IF('TERM 2'!AC98="","",'TERM 2'!AC98)</f>
      </c>
      <c r="H94" s="108" t="str">
        <f>IF('TERM 3'!AC98="","",'TERM 3'!AC98)</f>
      </c>
      <c r="I94" s="109" t="str">
        <f t="shared" si="2"/>
      </c>
      <c r="J94" s="134" t="str">
        <f t="array" ref="J94">IF(I94="","",IFERROR(INDEX(HELPER!$G$8:$G$48,MATCH(I94,HELPER!$F$8:$F$48,-1)),""))</f>
      </c>
      <c r="K94" s="82" t="str">
        <f t="shared" si="3"/>
      </c>
      <c r="L94" s="3"/>
      <c r="M94" s="3"/>
    </row>
    <row r="95" spans="1:13" ht="15" customHeight="1" x14ac:dyDescent="0.15">
      <c r="A95" s="3"/>
      <c r="B95" s="132">
        <v>31</v>
      </c>
      <c r="C95" s="246" t="str">
        <f>IF('INPUT DATA'!N41="","",'INPUT DATA'!N41)</f>
      </c>
      <c r="D95" s="185"/>
      <c r="E95" s="186"/>
      <c r="F95" s="107" t="str">
        <f>IF('TERM 1'!AC99="","",'TERM 1'!AC99)</f>
      </c>
      <c r="G95" s="107" t="str">
        <f>IF('TERM 2'!AC99="","",'TERM 2'!AC99)</f>
      </c>
      <c r="H95" s="108" t="str">
        <f>IF('TERM 3'!AC99="","",'TERM 3'!AC99)</f>
      </c>
      <c r="I95" s="109" t="str">
        <f t="shared" si="2"/>
      </c>
      <c r="J95" s="134" t="str">
        <f t="array" ref="J95">IF(I95="","",IFERROR(INDEX(HELPER!$G$8:$G$48,MATCH(I95,HELPER!$F$8:$F$48,-1)),""))</f>
      </c>
      <c r="K95" s="82" t="str">
        <f t="shared" si="3"/>
      </c>
      <c r="L95" s="3"/>
      <c r="M95" s="3"/>
    </row>
    <row r="96" spans="1:13" ht="15" customHeight="1" x14ac:dyDescent="0.15">
      <c r="A96" s="3"/>
      <c r="B96" s="132">
        <v>32</v>
      </c>
      <c r="C96" s="246" t="str">
        <f>IF('INPUT DATA'!N42="","",'INPUT DATA'!N42)</f>
      </c>
      <c r="D96" s="185"/>
      <c r="E96" s="186"/>
      <c r="F96" s="107" t="str">
        <f>IF('TERM 1'!AC100="","",'TERM 1'!AC100)</f>
      </c>
      <c r="G96" s="107" t="str">
        <f>IF('TERM 2'!AC100="","",'TERM 2'!AC100)</f>
      </c>
      <c r="H96" s="108" t="str">
        <f>IF('TERM 3'!AC100="","",'TERM 3'!AC100)</f>
      </c>
      <c r="I96" s="109" t="str">
        <f t="shared" si="2"/>
      </c>
      <c r="J96" s="134" t="str">
        <f t="array" ref="J96">IF(I96="","",IFERROR(INDEX(HELPER!$G$8:$G$48,MATCH(I96,HELPER!$F$8:$F$48,-1)),""))</f>
      </c>
      <c r="K96" s="82" t="str">
        <f t="shared" si="3"/>
      </c>
      <c r="L96" s="3"/>
      <c r="M96" s="3"/>
    </row>
    <row r="97" spans="1:13" ht="15" customHeight="1" x14ac:dyDescent="0.15">
      <c r="A97" s="3"/>
      <c r="B97" s="132">
        <v>33</v>
      </c>
      <c r="C97" s="246" t="str">
        <f>IF('INPUT DATA'!N43="","",'INPUT DATA'!N43)</f>
      </c>
      <c r="D97" s="185"/>
      <c r="E97" s="186"/>
      <c r="F97" s="107" t="str">
        <f>IF('TERM 1'!AC101="","",'TERM 1'!AC101)</f>
      </c>
      <c r="G97" s="107" t="str">
        <f>IF('TERM 2'!AC101="","",'TERM 2'!AC101)</f>
      </c>
      <c r="H97" s="108" t="str">
        <f>IF('TERM 3'!AC101="","",'TERM 3'!AC101)</f>
      </c>
      <c r="I97" s="109" t="str">
        <f t="shared" si="2"/>
      </c>
      <c r="J97" s="134" t="str">
        <f t="array" ref="J97">IF(I97="","",IFERROR(INDEX(HELPER!$G$8:$G$48,MATCH(I97,HELPER!$F$8:$F$48,-1)),""))</f>
      </c>
      <c r="K97" s="82" t="str">
        <f t="shared" si="3"/>
      </c>
      <c r="L97" s="3"/>
      <c r="M97" s="3"/>
    </row>
    <row r="98" spans="1:13" ht="15" customHeight="1" x14ac:dyDescent="0.15">
      <c r="A98" s="3"/>
      <c r="B98" s="132">
        <v>34</v>
      </c>
      <c r="C98" s="246" t="str">
        <f>IF('INPUT DATA'!N44="","",'INPUT DATA'!N44)</f>
      </c>
      <c r="D98" s="185"/>
      <c r="E98" s="186"/>
      <c r="F98" s="107" t="str">
        <f>IF('TERM 1'!AC102="","",'TERM 1'!AC102)</f>
      </c>
      <c r="G98" s="107" t="str">
        <f>IF('TERM 2'!AC102="","",'TERM 2'!AC102)</f>
      </c>
      <c r="H98" s="108" t="str">
        <f>IF('TERM 3'!AC102="","",'TERM 3'!AC102)</f>
      </c>
      <c r="I98" s="109" t="str">
        <f t="shared" si="2"/>
      </c>
      <c r="J98" s="134" t="str">
        <f t="array" ref="J98">IF(I98="","",IFERROR(INDEX(HELPER!$G$8:$G$48,MATCH(I98,HELPER!$F$8:$F$48,-1)),""))</f>
      </c>
      <c r="K98" s="82" t="str">
        <f t="shared" si="3"/>
      </c>
      <c r="L98" s="3"/>
      <c r="M98" s="3"/>
    </row>
    <row r="99" spans="1:13" ht="15" customHeight="1" x14ac:dyDescent="0.15">
      <c r="A99" s="3"/>
      <c r="B99" s="132">
        <v>35</v>
      </c>
      <c r="C99" s="246" t="str">
        <f>IF('INPUT DATA'!N45="","",'INPUT DATA'!N45)</f>
      </c>
      <c r="D99" s="185"/>
      <c r="E99" s="186"/>
      <c r="F99" s="107" t="str">
        <f>IF('TERM 1'!AC103="","",'TERM 1'!AC103)</f>
      </c>
      <c r="G99" s="107" t="str">
        <f>IF('TERM 2'!AC103="","",'TERM 2'!AC103)</f>
      </c>
      <c r="H99" s="108" t="str">
        <f>IF('TERM 3'!AC103="","",'TERM 3'!AC103)</f>
      </c>
      <c r="I99" s="109" t="str">
        <f t="shared" si="2"/>
      </c>
      <c r="J99" s="134" t="str">
        <f t="array" ref="J99">IF(I99="","",IFERROR(INDEX(HELPER!$G$8:$G$48,MATCH(I99,HELPER!$F$8:$F$48,-1)),""))</f>
      </c>
      <c r="K99" s="82" t="str">
        <f t="shared" si="3"/>
      </c>
      <c r="L99" s="3"/>
      <c r="M99" s="3"/>
    </row>
    <row r="100" spans="1:13" ht="15" customHeight="1" x14ac:dyDescent="0.15">
      <c r="A100" s="3"/>
      <c r="B100" s="132">
        <v>36</v>
      </c>
      <c r="C100" s="246" t="str">
        <f>IF('INPUT DATA'!N46="","",'INPUT DATA'!N46)</f>
      </c>
      <c r="D100" s="185"/>
      <c r="E100" s="186"/>
      <c r="F100" s="107" t="str">
        <f>IF('TERM 1'!AC104="","",'TERM 1'!AC104)</f>
      </c>
      <c r="G100" s="107" t="str">
        <f>IF('TERM 2'!AC104="","",'TERM 2'!AC104)</f>
      </c>
      <c r="H100" s="108" t="str">
        <f>IF('TERM 3'!AC104="","",'TERM 3'!AC104)</f>
      </c>
      <c r="I100" s="109" t="str">
        <f t="shared" si="2"/>
      </c>
      <c r="J100" s="134" t="str">
        <f t="array" ref="J100">IF(I100="","",IFERROR(INDEX(HELPER!$G$8:$G$48,MATCH(I100,HELPER!$F$8:$F$48,-1)),""))</f>
      </c>
      <c r="K100" s="82" t="str">
        <f t="shared" si="3"/>
      </c>
      <c r="L100" s="3"/>
      <c r="M100" s="3"/>
    </row>
    <row r="101" spans="1:13" ht="15" customHeight="1" x14ac:dyDescent="0.15">
      <c r="A101" s="3"/>
      <c r="B101" s="132">
        <v>37</v>
      </c>
      <c r="C101" s="246" t="str">
        <f>IF('INPUT DATA'!N47="","",'INPUT DATA'!N47)</f>
      </c>
      <c r="D101" s="185"/>
      <c r="E101" s="186"/>
      <c r="F101" s="107" t="str">
        <f>IF('TERM 1'!AC105="","",'TERM 1'!AC105)</f>
      </c>
      <c r="G101" s="107" t="str">
        <f>IF('TERM 2'!AC105="","",'TERM 2'!AC105)</f>
      </c>
      <c r="H101" s="108" t="str">
        <f>IF('TERM 3'!AC105="","",'TERM 3'!AC105)</f>
      </c>
      <c r="I101" s="109" t="str">
        <f t="shared" si="2"/>
      </c>
      <c r="J101" s="134" t="str">
        <f t="array" ref="J101">IF(I101="","",IFERROR(INDEX(HELPER!$G$8:$G$48,MATCH(I101,HELPER!$F$8:$F$48,-1)),""))</f>
      </c>
      <c r="K101" s="82" t="str">
        <f t="shared" si="3"/>
      </c>
      <c r="L101" s="3"/>
      <c r="M101" s="3"/>
    </row>
    <row r="102" spans="1:13" ht="15" customHeight="1" x14ac:dyDescent="0.15">
      <c r="A102" s="3"/>
      <c r="B102" s="132">
        <v>38</v>
      </c>
      <c r="C102" s="246" t="str">
        <f>IF('INPUT DATA'!N48="","",'INPUT DATA'!N48)</f>
      </c>
      <c r="D102" s="185"/>
      <c r="E102" s="186"/>
      <c r="F102" s="107" t="str">
        <f>IF('TERM 1'!AC106="","",'TERM 1'!AC106)</f>
      </c>
      <c r="G102" s="107" t="str">
        <f>IF('TERM 2'!AC106="","",'TERM 2'!AC106)</f>
      </c>
      <c r="H102" s="108" t="str">
        <f>IF('TERM 3'!AC106="","",'TERM 3'!AC106)</f>
      </c>
      <c r="I102" s="109" t="str">
        <f t="shared" si="2"/>
      </c>
      <c r="J102" s="134" t="str">
        <f t="array" ref="J102">IF(I102="","",IFERROR(INDEX(HELPER!$G$8:$G$48,MATCH(I102,HELPER!$F$8:$F$48,-1)),""))</f>
      </c>
      <c r="K102" s="82" t="str">
        <f t="shared" si="3"/>
      </c>
      <c r="L102" s="3"/>
      <c r="M102" s="3"/>
    </row>
    <row r="103" spans="1:13" ht="15" customHeight="1" x14ac:dyDescent="0.15">
      <c r="A103" s="3"/>
      <c r="B103" s="132">
        <v>39</v>
      </c>
      <c r="C103" s="246" t="str">
        <f>IF('INPUT DATA'!N49="","",'INPUT DATA'!N49)</f>
      </c>
      <c r="D103" s="185"/>
      <c r="E103" s="186"/>
      <c r="F103" s="107" t="str">
        <f>IF('TERM 1'!AC107="","",'TERM 1'!AC107)</f>
      </c>
      <c r="G103" s="107" t="str">
        <f>IF('TERM 2'!AC107="","",'TERM 2'!AC107)</f>
      </c>
      <c r="H103" s="108" t="str">
        <f>IF('TERM 3'!AC107="","",'TERM 3'!AC107)</f>
      </c>
      <c r="I103" s="109" t="str">
        <f t="shared" si="2"/>
      </c>
      <c r="J103" s="134" t="str">
        <f t="array" ref="J103">IF(I103="","",IFERROR(INDEX(HELPER!$G$8:$G$48,MATCH(I103,HELPER!$F$8:$F$48,-1)),""))</f>
      </c>
      <c r="K103" s="82" t="str">
        <f t="shared" si="3"/>
      </c>
      <c r="L103" s="3"/>
      <c r="M103" s="3"/>
    </row>
    <row r="104" spans="1:13" ht="15" customHeight="1" x14ac:dyDescent="0.15">
      <c r="A104" s="3"/>
      <c r="B104" s="132">
        <v>40</v>
      </c>
      <c r="C104" s="246" t="str">
        <f>IF('INPUT DATA'!N50="","",'INPUT DATA'!N50)</f>
      </c>
      <c r="D104" s="185"/>
      <c r="E104" s="186"/>
      <c r="F104" s="107" t="str">
        <f>IF('TERM 1'!AC108="","",'TERM 1'!AC108)</f>
      </c>
      <c r="G104" s="107" t="str">
        <f>IF('TERM 2'!AC108="","",'TERM 2'!AC108)</f>
      </c>
      <c r="H104" s="108" t="str">
        <f>IF('TERM 3'!AC108="","",'TERM 3'!AC108)</f>
      </c>
      <c r="I104" s="109" t="str">
        <f t="shared" si="2"/>
      </c>
      <c r="J104" s="134" t="str">
        <f t="array" ref="J104">IF(I104="","",IFERROR(INDEX(HELPER!$G$8:$G$48,MATCH(I104,HELPER!$F$8:$F$48,-1)),""))</f>
      </c>
      <c r="K104" s="82" t="str">
        <f t="shared" si="3"/>
      </c>
      <c r="L104" s="3"/>
      <c r="M104" s="3"/>
    </row>
    <row r="105" spans="1:13" ht="15" customHeight="1" x14ac:dyDescent="0.15">
      <c r="A105" s="3"/>
      <c r="B105" s="132">
        <v>41</v>
      </c>
      <c r="C105" s="246" t="str">
        <f>IF('INPUT DATA'!N51="","",'INPUT DATA'!N51)</f>
      </c>
      <c r="D105" s="185"/>
      <c r="E105" s="186"/>
      <c r="F105" s="107" t="str">
        <f>IF('TERM 1'!AC109="","",'TERM 1'!AC109)</f>
      </c>
      <c r="G105" s="107" t="str">
        <f>IF('TERM 2'!AC109="","",'TERM 2'!AC109)</f>
      </c>
      <c r="H105" s="108" t="str">
        <f>IF('TERM 3'!AC109="","",'TERM 3'!AC109)</f>
      </c>
      <c r="I105" s="109" t="str">
        <f t="shared" si="2"/>
      </c>
      <c r="J105" s="134" t="str">
        <f t="array" ref="J105">IF(I105="","",IFERROR(INDEX(HELPER!$G$8:$G$48,MATCH(I105,HELPER!$F$8:$F$48,-1)),""))</f>
      </c>
      <c r="K105" s="82" t="str">
        <f t="shared" si="3"/>
      </c>
      <c r="L105" s="3"/>
      <c r="M105" s="3"/>
    </row>
    <row r="106" spans="1:13" ht="15" customHeight="1" x14ac:dyDescent="0.15">
      <c r="A106" s="3"/>
      <c r="B106" s="132">
        <v>42</v>
      </c>
      <c r="C106" s="246" t="str">
        <f>IF('INPUT DATA'!N52="","",'INPUT DATA'!N52)</f>
      </c>
      <c r="D106" s="185"/>
      <c r="E106" s="186"/>
      <c r="F106" s="107" t="str">
        <f>IF('TERM 1'!AC110="","",'TERM 1'!AC110)</f>
      </c>
      <c r="G106" s="107" t="str">
        <f>IF('TERM 2'!AC110="","",'TERM 2'!AC110)</f>
      </c>
      <c r="H106" s="108" t="str">
        <f>IF('TERM 3'!AC110="","",'TERM 3'!AC110)</f>
      </c>
      <c r="I106" s="109" t="str">
        <f t="shared" si="2"/>
      </c>
      <c r="J106" s="134" t="str">
        <f t="array" ref="J106">IF(I106="","",IFERROR(INDEX(HELPER!$G$8:$G$48,MATCH(I106,HELPER!$F$8:$F$48,-1)),""))</f>
      </c>
      <c r="K106" s="82" t="str">
        <f t="shared" si="3"/>
      </c>
      <c r="L106" s="3"/>
      <c r="M106" s="3"/>
    </row>
    <row r="107" spans="1:13" ht="15" customHeight="1" x14ac:dyDescent="0.15">
      <c r="A107" s="3"/>
      <c r="B107" s="132">
        <v>43</v>
      </c>
      <c r="C107" s="246" t="str">
        <f>IF('INPUT DATA'!N53="","",'INPUT DATA'!N53)</f>
      </c>
      <c r="D107" s="185"/>
      <c r="E107" s="186"/>
      <c r="F107" s="107" t="str">
        <f>IF('TERM 1'!AC111="","",'TERM 1'!AC111)</f>
      </c>
      <c r="G107" s="107" t="str">
        <f>IF('TERM 2'!AC111="","",'TERM 2'!AC111)</f>
      </c>
      <c r="H107" s="108" t="str">
        <f>IF('TERM 3'!AC111="","",'TERM 3'!AC111)</f>
      </c>
      <c r="I107" s="109" t="str">
        <f t="shared" si="2"/>
      </c>
      <c r="J107" s="134" t="str">
        <f t="array" ref="J107">IF(I107="","",IFERROR(INDEX(HELPER!$G$8:$G$48,MATCH(I107,HELPER!$F$8:$F$48,-1)),""))</f>
      </c>
      <c r="K107" s="82" t="str">
        <f t="shared" si="3"/>
      </c>
      <c r="L107" s="3"/>
      <c r="M107" s="3"/>
    </row>
    <row r="108" spans="1:13" ht="15" customHeight="1" x14ac:dyDescent="0.15">
      <c r="A108" s="3"/>
      <c r="B108" s="132">
        <v>44</v>
      </c>
      <c r="C108" s="246" t="str">
        <f>IF('INPUT DATA'!N54="","",'INPUT DATA'!N54)</f>
      </c>
      <c r="D108" s="185"/>
      <c r="E108" s="186"/>
      <c r="F108" s="107" t="str">
        <f>IF('TERM 1'!AC112="","",'TERM 1'!AC112)</f>
      </c>
      <c r="G108" s="107" t="str">
        <f>IF('TERM 2'!AC112="","",'TERM 2'!AC112)</f>
      </c>
      <c r="H108" s="108" t="str">
        <f>IF('TERM 3'!AC112="","",'TERM 3'!AC112)</f>
      </c>
      <c r="I108" s="109" t="str">
        <f t="shared" si="2"/>
      </c>
      <c r="J108" s="134" t="str">
        <f t="array" ref="J108">IF(I108="","",IFERROR(INDEX(HELPER!$G$8:$G$48,MATCH(I108,HELPER!$F$8:$F$48,-1)),""))</f>
      </c>
      <c r="K108" s="82" t="str">
        <f t="shared" si="3"/>
      </c>
      <c r="L108" s="3"/>
      <c r="M108" s="3"/>
    </row>
    <row r="109" spans="1:13" ht="15" customHeight="1" x14ac:dyDescent="0.15">
      <c r="A109" s="3"/>
      <c r="B109" s="132">
        <v>45</v>
      </c>
      <c r="C109" s="246" t="str">
        <f>IF('INPUT DATA'!N55="","",'INPUT DATA'!N55)</f>
      </c>
      <c r="D109" s="185"/>
      <c r="E109" s="186"/>
      <c r="F109" s="107" t="str">
        <f>IF('TERM 1'!AC113="","",'TERM 1'!AC113)</f>
      </c>
      <c r="G109" s="107" t="str">
        <f>IF('TERM 2'!AC113="","",'TERM 2'!AC113)</f>
      </c>
      <c r="H109" s="108" t="str">
        <f>IF('TERM 3'!AC113="","",'TERM 3'!AC113)</f>
      </c>
      <c r="I109" s="109" t="str">
        <f t="shared" si="2"/>
      </c>
      <c r="J109" s="134" t="str">
        <f t="array" ref="J109">IF(I109="","",IFERROR(INDEX(HELPER!$G$8:$G$48,MATCH(I109,HELPER!$F$8:$F$48,-1)),""))</f>
      </c>
      <c r="K109" s="82" t="str">
        <f t="shared" si="3"/>
      </c>
      <c r="L109" s="3"/>
      <c r="M109" s="3"/>
    </row>
    <row r="110" spans="1:13" ht="15" customHeight="1" x14ac:dyDescent="0.15">
      <c r="A110" s="3"/>
      <c r="B110" s="132">
        <v>46</v>
      </c>
      <c r="C110" s="246" t="str">
        <f>IF('INPUT DATA'!N56="","",'INPUT DATA'!N56)</f>
      </c>
      <c r="D110" s="185"/>
      <c r="E110" s="186"/>
      <c r="F110" s="107" t="str">
        <f>IF('TERM 1'!AC114="","",'TERM 1'!AC114)</f>
      </c>
      <c r="G110" s="107" t="str">
        <f>IF('TERM 2'!AC114="","",'TERM 2'!AC114)</f>
      </c>
      <c r="H110" s="108" t="str">
        <f>IF('TERM 3'!AC114="","",'TERM 3'!AC114)</f>
      </c>
      <c r="I110" s="109" t="str">
        <f t="shared" si="2"/>
      </c>
      <c r="J110" s="134" t="str">
        <f t="array" ref="J110">IF(I110="","",IFERROR(INDEX(HELPER!$G$8:$G$48,MATCH(I110,HELPER!$F$8:$F$48,-1)),""))</f>
      </c>
      <c r="K110" s="82" t="str">
        <f t="shared" si="3"/>
      </c>
      <c r="L110" s="3"/>
      <c r="M110" s="3"/>
    </row>
    <row r="111" spans="1:13" ht="15" customHeight="1" x14ac:dyDescent="0.15">
      <c r="A111" s="3"/>
      <c r="B111" s="132">
        <v>47</v>
      </c>
      <c r="C111" s="246" t="str">
        <f>IF('INPUT DATA'!N57="","",'INPUT DATA'!N57)</f>
      </c>
      <c r="D111" s="185"/>
      <c r="E111" s="186"/>
      <c r="F111" s="107" t="str">
        <f>IF('TERM 1'!AC115="","",'TERM 1'!AC115)</f>
      </c>
      <c r="G111" s="107" t="str">
        <f>IF('TERM 2'!AC115="","",'TERM 2'!AC115)</f>
      </c>
      <c r="H111" s="108" t="str">
        <f>IF('TERM 3'!AC115="","",'TERM 3'!AC115)</f>
      </c>
      <c r="I111" s="109" t="str">
        <f t="shared" si="2"/>
      </c>
      <c r="J111" s="134" t="str">
        <f t="array" ref="J111">IF(I111="","",IFERROR(INDEX(HELPER!$G$8:$G$48,MATCH(I111,HELPER!$F$8:$F$48,-1)),""))</f>
      </c>
      <c r="K111" s="82" t="str">
        <f t="shared" si="3"/>
      </c>
      <c r="L111" s="3"/>
      <c r="M111" s="3"/>
    </row>
    <row r="112" spans="1:13" ht="15" customHeight="1" x14ac:dyDescent="0.15">
      <c r="A112" s="3"/>
      <c r="B112" s="132">
        <v>48</v>
      </c>
      <c r="C112" s="246" t="str">
        <f>IF('INPUT DATA'!N58="","",'INPUT DATA'!N58)</f>
      </c>
      <c r="D112" s="185"/>
      <c r="E112" s="186"/>
      <c r="F112" s="107" t="str">
        <f>IF('TERM 1'!AC116="","",'TERM 1'!AC116)</f>
      </c>
      <c r="G112" s="107" t="str">
        <f>IF('TERM 2'!AC116="","",'TERM 2'!AC116)</f>
      </c>
      <c r="H112" s="108" t="str">
        <f>IF('TERM 3'!AC116="","",'TERM 3'!AC116)</f>
      </c>
      <c r="I112" s="109" t="str">
        <f t="shared" si="2"/>
      </c>
      <c r="J112" s="134" t="str">
        <f t="array" ref="J112">IF(I112="","",IFERROR(INDEX(HELPER!$G$8:$G$48,MATCH(I112,HELPER!$F$8:$F$48,-1)),""))</f>
      </c>
      <c r="K112" s="82" t="str">
        <f t="shared" si="3"/>
      </c>
      <c r="L112" s="3"/>
      <c r="M112" s="3"/>
    </row>
    <row r="113" spans="1:13" ht="15" customHeight="1" x14ac:dyDescent="0.15">
      <c r="A113" s="3"/>
      <c r="B113" s="132">
        <v>49</v>
      </c>
      <c r="C113" s="246" t="str">
        <f>IF('INPUT DATA'!N59="","",'INPUT DATA'!N59)</f>
      </c>
      <c r="D113" s="185"/>
      <c r="E113" s="186"/>
      <c r="F113" s="107" t="str">
        <f>IF('TERM 1'!AC117="","",'TERM 1'!AC117)</f>
      </c>
      <c r="G113" s="107" t="str">
        <f>IF('TERM 2'!AC117="","",'TERM 2'!AC117)</f>
      </c>
      <c r="H113" s="108" t="str">
        <f>IF('TERM 3'!AC117="","",'TERM 3'!AC117)</f>
      </c>
      <c r="I113" s="109" t="str">
        <f t="shared" si="2"/>
      </c>
      <c r="J113" s="134" t="str">
        <f t="array" ref="J113">IF(I113="","",IFERROR(INDEX(HELPER!$G$8:$G$48,MATCH(I113,HELPER!$F$8:$F$48,-1)),""))</f>
      </c>
      <c r="K113" s="82" t="str">
        <f t="shared" si="3"/>
      </c>
      <c r="L113" s="3"/>
      <c r="M113" s="3"/>
    </row>
    <row r="114" spans="1:13" ht="15" customHeight="1" x14ac:dyDescent="0.15">
      <c r="A114" s="3"/>
      <c r="B114" s="135">
        <v>50</v>
      </c>
      <c r="C114" s="247" t="str">
        <f>IF('INPUT DATA'!N60="","",'INPUT DATA'!N60)</f>
      </c>
      <c r="D114" s="191"/>
      <c r="E114" s="192"/>
      <c r="F114" s="126" t="str">
        <f>IF('TERM 1'!AC118="","",'TERM 1'!AC118)</f>
      </c>
      <c r="G114" s="126" t="str">
        <f>IF('TERM 2'!AC118="","",'TERM 2'!AC118)</f>
      </c>
      <c r="H114" s="127" t="str">
        <f>IF('TERM 3'!AC118="","",'TERM 3'!AC118)</f>
      </c>
      <c r="I114" s="128" t="str">
        <f t="shared" si="2"/>
      </c>
      <c r="J114" s="143" t="str">
        <f t="array" ref="J114">IF(I114="","",IFERROR(INDEX(HELPER!$G$8:$G$48,MATCH(I114,HELPER!$F$8:$F$48,-1)),""))</f>
      </c>
      <c r="K114" s="116" t="str">
        <f t="shared" si="3"/>
      </c>
      <c r="L114" s="3"/>
      <c r="M114" s="3"/>
    </row>
    <row r="115" spans="1:13" ht="15.75" customHeight="1" x14ac:dyDescent="0.15">
      <c r="A115" s="3"/>
      <c r="B115" s="3"/>
      <c r="C115" s="193"/>
      <c r="D115" s="194"/>
      <c r="E115" s="194"/>
      <c r="F115" s="3"/>
      <c r="G115" s="3"/>
      <c r="H115" s="3"/>
      <c r="I115" s="3"/>
      <c r="J115" s="3"/>
      <c r="K115" s="3"/>
      <c r="L115" s="3"/>
      <c r="M115" s="3"/>
    </row>
    <row r="116" spans="1:13" ht="15.75" customHeight="1" x14ac:dyDescent="0.15">
      <c r="A116" s="3"/>
      <c r="B116" s="3"/>
      <c r="C116" s="3"/>
      <c r="D116" s="3"/>
      <c r="E116" s="3"/>
      <c r="F116" s="3"/>
      <c r="G116" s="3"/>
      <c r="H116" s="3"/>
      <c r="I116" s="3"/>
      <c r="J116" s="3"/>
      <c r="K116" s="3"/>
      <c r="L116" s="3"/>
      <c r="M116" s="3"/>
    </row>
    <row r="117" spans="1:13" ht="15.75" customHeight="1" x14ac:dyDescent="0.15">
      <c r="F117" s="144"/>
      <c r="G117" s="144"/>
      <c r="H117" s="144"/>
      <c r="I117" s="144"/>
      <c r="J117" s="144"/>
      <c r="K117" s="144"/>
    </row>
    <row r="118" spans="1:13" ht="15.75" customHeight="1" x14ac:dyDescent="0.15"/>
    <row r="119" spans="1:13" ht="15.75" customHeight="1" x14ac:dyDescent="0.15"/>
    <row r="120" spans="1:13" ht="15.75" customHeight="1" x14ac:dyDescent="0.15"/>
    <row r="121" spans="1:13" ht="15.75" customHeight="1" x14ac:dyDescent="0.15"/>
    <row r="122" spans="1:13" ht="15.75" customHeight="1" x14ac:dyDescent="0.15"/>
    <row r="123" spans="1:13" ht="15.75" customHeight="1" x14ac:dyDescent="0.15"/>
    <row r="124" spans="1:13" ht="15.75" customHeight="1" x14ac:dyDescent="0.15"/>
    <row r="125" spans="1:13" ht="15.75" customHeight="1" x14ac:dyDescent="0.15"/>
    <row r="126" spans="1:13" ht="15.75" customHeight="1" x14ac:dyDescent="0.15"/>
    <row r="127" spans="1:13" ht="15.75" customHeight="1" x14ac:dyDescent="0.15"/>
    <row r="128" spans="1:13"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122">
    <mergeCell ref="B2:K3"/>
    <mergeCell ref="D5:E5"/>
    <mergeCell ref="G5:H5"/>
    <mergeCell ref="J5:K5"/>
    <mergeCell ref="D6:H6"/>
    <mergeCell ref="J6:K6"/>
    <mergeCell ref="B8:K8"/>
    <mergeCell ref="F11:H11"/>
    <mergeCell ref="I11:I12"/>
    <mergeCell ref="J11:J12"/>
    <mergeCell ref="K11:K12"/>
    <mergeCell ref="N13:Q13"/>
    <mergeCell ref="B9:C9"/>
    <mergeCell ref="D9:G9"/>
    <mergeCell ref="I9:K9"/>
    <mergeCell ref="B10:C10"/>
    <mergeCell ref="D10:G10"/>
    <mergeCell ref="I10:K10"/>
    <mergeCell ref="B13:K13"/>
    <mergeCell ref="B11:E12"/>
    <mergeCell ref="C14:E14"/>
    <mergeCell ref="C15:E15"/>
    <mergeCell ref="C16:E16"/>
    <mergeCell ref="C17:E17"/>
    <mergeCell ref="C18:E18"/>
    <mergeCell ref="C19:E19"/>
    <mergeCell ref="C20:E20"/>
    <mergeCell ref="C21:E21"/>
    <mergeCell ref="C22:E22"/>
    <mergeCell ref="C23:E23"/>
    <mergeCell ref="C24:E24"/>
    <mergeCell ref="C25:E25"/>
    <mergeCell ref="C26:E26"/>
    <mergeCell ref="C27:E27"/>
    <mergeCell ref="C28:E28"/>
    <mergeCell ref="C29:E29"/>
    <mergeCell ref="C30:E30"/>
    <mergeCell ref="C31:E31"/>
    <mergeCell ref="C32:E32"/>
    <mergeCell ref="C33:E33"/>
    <mergeCell ref="C83:E83"/>
    <mergeCell ref="C84:E84"/>
    <mergeCell ref="C85:E85"/>
    <mergeCell ref="C86:E86"/>
    <mergeCell ref="C87:E87"/>
    <mergeCell ref="C88:E88"/>
    <mergeCell ref="C89:E89"/>
    <mergeCell ref="C50:E50"/>
    <mergeCell ref="C51:E51"/>
    <mergeCell ref="C52:E52"/>
    <mergeCell ref="C53:E53"/>
    <mergeCell ref="C54:E54"/>
    <mergeCell ref="C55:E55"/>
    <mergeCell ref="C56:E56"/>
    <mergeCell ref="C57:E57"/>
    <mergeCell ref="C58:E58"/>
    <mergeCell ref="C59:E59"/>
    <mergeCell ref="C60:E60"/>
    <mergeCell ref="C61:E61"/>
    <mergeCell ref="C62:E62"/>
    <mergeCell ref="C63:E63"/>
    <mergeCell ref="B64:K64"/>
    <mergeCell ref="C90:E90"/>
    <mergeCell ref="C91:E91"/>
    <mergeCell ref="C92:E92"/>
    <mergeCell ref="C93:E93"/>
    <mergeCell ref="C94:E94"/>
    <mergeCell ref="C95:E95"/>
    <mergeCell ref="C96:E96"/>
    <mergeCell ref="C97:E97"/>
    <mergeCell ref="C98:E98"/>
    <mergeCell ref="C99:E99"/>
    <mergeCell ref="C100:E100"/>
    <mergeCell ref="C101:E101"/>
    <mergeCell ref="C102:E102"/>
    <mergeCell ref="C103:E103"/>
    <mergeCell ref="C111:E111"/>
    <mergeCell ref="C112:E112"/>
    <mergeCell ref="C113:E113"/>
    <mergeCell ref="C114:E114"/>
    <mergeCell ref="C115:E115"/>
    <mergeCell ref="C104:E104"/>
    <mergeCell ref="C105:E105"/>
    <mergeCell ref="C106:E106"/>
    <mergeCell ref="C107:E107"/>
    <mergeCell ref="C108:E108"/>
    <mergeCell ref="C109:E109"/>
    <mergeCell ref="C110:E110"/>
    <mergeCell ref="C34:E34"/>
    <mergeCell ref="C35:E35"/>
    <mergeCell ref="C36:E36"/>
    <mergeCell ref="C37:E37"/>
    <mergeCell ref="C38:E38"/>
    <mergeCell ref="C39:E39"/>
    <mergeCell ref="C40:E40"/>
    <mergeCell ref="C41:E41"/>
    <mergeCell ref="C42:E42"/>
    <mergeCell ref="C43:E43"/>
    <mergeCell ref="C44:E44"/>
    <mergeCell ref="C45:E45"/>
    <mergeCell ref="C46:E46"/>
    <mergeCell ref="C47:E47"/>
    <mergeCell ref="C48:E48"/>
    <mergeCell ref="C49:E49"/>
    <mergeCell ref="C65:E65"/>
    <mergeCell ref="C66:E66"/>
    <mergeCell ref="C67:E67"/>
    <mergeCell ref="C68:E68"/>
    <mergeCell ref="C69:E69"/>
    <mergeCell ref="C70:E70"/>
    <mergeCell ref="C71:E71"/>
    <mergeCell ref="C72:E72"/>
    <mergeCell ref="C73:E73"/>
    <mergeCell ref="C74:E74"/>
    <mergeCell ref="C75:E75"/>
    <mergeCell ref="C76:E76"/>
    <mergeCell ref="C77:E77"/>
    <mergeCell ref="C78:E78"/>
    <mergeCell ref="C79:E79"/>
    <mergeCell ref="C80:E80"/>
    <mergeCell ref="C81:E81"/>
    <mergeCell ref="C82:E82"/>
  </mergeCells>
  <pageMargins left="0.7" right="0.7" top="0.75" bottom="0.75" header="0" footer="0"/>
  <pageSetup paperSize="9" scale="55" orientation="portrait"/>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FF0000"/>
    <outlinePr summaryBelow="0" summaryRight="0"/>
  </sheetPr>
  <dimension ref="A1:I1000"/>
  <sheetViews>
    <sheetView showGridLines="0" workbookViewId="0">
      <pane ySplit="7" topLeftCell="A8" activePane="bottomLeft" state="frozen"/>
      <selection pane="bottomLeft" activeCell="B9" sqref="B9"/>
    </sheetView>
  </sheetViews>
  <sheetFormatPr baseColWidth="10" defaultColWidth="12.6640625" defaultRowHeight="15" customHeight="1" x14ac:dyDescent="0.15"/>
  <cols>
    <col min="1" max="1" width="3.83203125" customWidth="1"/>
    <col min="2" max="3" width="15.1640625" customWidth="1"/>
    <col min="4" max="4" width="21.1640625" customWidth="1"/>
    <col min="5" max="5" width="12.6640625" customWidth="1"/>
    <col min="6" max="7" width="17.5" customWidth="1"/>
    <col min="8" max="8" width="25.5" customWidth="1"/>
    <col min="9" max="9" width="3.83203125" customWidth="1"/>
  </cols>
  <sheetData>
    <row r="1" spans="1:9" ht="15.75" customHeight="1" x14ac:dyDescent="0.15"/>
    <row r="2" spans="1:9" ht="36.75" customHeight="1" x14ac:dyDescent="0.35">
      <c r="B2" s="145" t="s">
        <v>49</v>
      </c>
      <c r="C2" s="146"/>
    </row>
    <row r="3" spans="1:9" ht="36" customHeight="1" x14ac:dyDescent="0.3">
      <c r="B3" s="147" t="s">
        <v>50</v>
      </c>
      <c r="C3" s="146"/>
    </row>
    <row r="4" spans="1:9" ht="15.75" customHeight="1" x14ac:dyDescent="0.15"/>
    <row r="5" spans="1:9" ht="15.75" customHeight="1" x14ac:dyDescent="0.15"/>
    <row r="6" spans="1:9" ht="15.75" customHeight="1" x14ac:dyDescent="0.2">
      <c r="A6" s="93"/>
      <c r="B6" s="265" t="s">
        <v>51</v>
      </c>
      <c r="C6" s="249"/>
      <c r="D6" s="250"/>
      <c r="E6" s="148"/>
      <c r="F6" s="266" t="s">
        <v>44</v>
      </c>
      <c r="G6" s="188"/>
      <c r="H6" s="189"/>
      <c r="I6" s="93"/>
    </row>
    <row r="7" spans="1:9" ht="15.75" customHeight="1" x14ac:dyDescent="0.2">
      <c r="B7" s="149" t="s">
        <v>52</v>
      </c>
      <c r="C7" s="150" t="s">
        <v>53</v>
      </c>
      <c r="D7" s="151" t="s">
        <v>54</v>
      </c>
      <c r="E7" s="148"/>
      <c r="F7" s="152" t="s">
        <v>55</v>
      </c>
      <c r="G7" s="153" t="s">
        <v>27</v>
      </c>
      <c r="H7" s="154" t="s">
        <v>56</v>
      </c>
    </row>
    <row r="8" spans="1:9" ht="15.75" customHeight="1" x14ac:dyDescent="0.2">
      <c r="B8" s="155">
        <v>99.5</v>
      </c>
      <c r="C8" s="156">
        <v>100</v>
      </c>
      <c r="D8" s="157">
        <v>100</v>
      </c>
      <c r="F8" s="158">
        <v>100</v>
      </c>
      <c r="G8" s="159" t="s">
        <v>57</v>
      </c>
      <c r="H8" s="267" t="s">
        <v>58</v>
      </c>
    </row>
    <row r="9" spans="1:9" ht="15.75" customHeight="1" x14ac:dyDescent="0.2">
      <c r="B9" s="160">
        <v>98.32</v>
      </c>
      <c r="C9" s="161">
        <v>99.49</v>
      </c>
      <c r="D9" s="162">
        <v>99</v>
      </c>
      <c r="F9" s="163">
        <v>99</v>
      </c>
      <c r="G9" s="164" t="s">
        <v>57</v>
      </c>
      <c r="H9" s="262"/>
    </row>
    <row r="10" spans="1:9" ht="15.75" customHeight="1" x14ac:dyDescent="0.2">
      <c r="B10" s="160">
        <v>97.14</v>
      </c>
      <c r="C10" s="161">
        <v>98.31</v>
      </c>
      <c r="D10" s="162">
        <v>98</v>
      </c>
      <c r="F10" s="163">
        <v>98</v>
      </c>
      <c r="G10" s="164" t="s">
        <v>57</v>
      </c>
      <c r="H10" s="262"/>
    </row>
    <row r="11" spans="1:9" ht="15.75" customHeight="1" x14ac:dyDescent="0.2">
      <c r="B11" s="160">
        <v>95.96</v>
      </c>
      <c r="C11" s="161">
        <v>97.13</v>
      </c>
      <c r="D11" s="162">
        <v>97</v>
      </c>
      <c r="F11" s="163">
        <v>97</v>
      </c>
      <c r="G11" s="164" t="s">
        <v>57</v>
      </c>
      <c r="H11" s="262"/>
    </row>
    <row r="12" spans="1:9" ht="15.75" customHeight="1" x14ac:dyDescent="0.2">
      <c r="B12" s="160">
        <v>94.78</v>
      </c>
      <c r="C12" s="161">
        <v>95.95</v>
      </c>
      <c r="D12" s="162">
        <v>96</v>
      </c>
      <c r="F12" s="163">
        <v>96</v>
      </c>
      <c r="G12" s="164" t="s">
        <v>57</v>
      </c>
      <c r="H12" s="262"/>
    </row>
    <row r="13" spans="1:9" ht="15.75" customHeight="1" x14ac:dyDescent="0.2">
      <c r="B13" s="165">
        <v>93.6</v>
      </c>
      <c r="C13" s="161">
        <v>94.77</v>
      </c>
      <c r="D13" s="162">
        <v>95</v>
      </c>
      <c r="F13" s="163">
        <v>95</v>
      </c>
      <c r="G13" s="164" t="s">
        <v>57</v>
      </c>
      <c r="H13" s="262"/>
    </row>
    <row r="14" spans="1:9" ht="15.75" customHeight="1" x14ac:dyDescent="0.2">
      <c r="B14" s="160">
        <v>92.42</v>
      </c>
      <c r="C14" s="161">
        <v>93.59</v>
      </c>
      <c r="D14" s="162">
        <v>94</v>
      </c>
      <c r="F14" s="163">
        <v>94</v>
      </c>
      <c r="G14" s="164" t="s">
        <v>57</v>
      </c>
      <c r="H14" s="262"/>
    </row>
    <row r="15" spans="1:9" ht="15.75" customHeight="1" x14ac:dyDescent="0.2">
      <c r="B15" s="160">
        <v>91.24</v>
      </c>
      <c r="C15" s="161">
        <v>92.41</v>
      </c>
      <c r="D15" s="162">
        <v>93</v>
      </c>
      <c r="F15" s="163">
        <v>93</v>
      </c>
      <c r="G15" s="164" t="s">
        <v>57</v>
      </c>
      <c r="H15" s="262"/>
    </row>
    <row r="16" spans="1:9" ht="15.75" customHeight="1" x14ac:dyDescent="0.2">
      <c r="B16" s="160">
        <v>90.06</v>
      </c>
      <c r="C16" s="161">
        <v>91.23</v>
      </c>
      <c r="D16" s="162">
        <v>92</v>
      </c>
      <c r="F16" s="163">
        <v>92</v>
      </c>
      <c r="G16" s="164" t="s">
        <v>57</v>
      </c>
      <c r="H16" s="262"/>
    </row>
    <row r="17" spans="2:8" ht="15.75" customHeight="1" x14ac:dyDescent="0.2">
      <c r="B17" s="160">
        <v>88.88</v>
      </c>
      <c r="C17" s="161">
        <v>90.05</v>
      </c>
      <c r="D17" s="162">
        <v>91</v>
      </c>
      <c r="F17" s="163">
        <v>91</v>
      </c>
      <c r="G17" s="164" t="s">
        <v>57</v>
      </c>
      <c r="H17" s="262"/>
    </row>
    <row r="18" spans="2:8" ht="15.75" customHeight="1" x14ac:dyDescent="0.2">
      <c r="B18" s="165">
        <v>87.7</v>
      </c>
      <c r="C18" s="161">
        <v>88.87</v>
      </c>
      <c r="D18" s="162">
        <v>90</v>
      </c>
      <c r="F18" s="163">
        <v>90</v>
      </c>
      <c r="G18" s="164" t="s">
        <v>57</v>
      </c>
      <c r="H18" s="263"/>
    </row>
    <row r="19" spans="2:8" ht="15.75" customHeight="1" x14ac:dyDescent="0.2">
      <c r="B19" s="160">
        <v>86.52</v>
      </c>
      <c r="C19" s="161">
        <v>87.69</v>
      </c>
      <c r="D19" s="162">
        <v>89</v>
      </c>
      <c r="F19" s="163">
        <v>89</v>
      </c>
      <c r="G19" s="164" t="s">
        <v>59</v>
      </c>
      <c r="H19" s="261" t="s">
        <v>60</v>
      </c>
    </row>
    <row r="20" spans="2:8" ht="15.75" customHeight="1" x14ac:dyDescent="0.2">
      <c r="B20" s="160">
        <v>85.34</v>
      </c>
      <c r="C20" s="161">
        <v>86.51</v>
      </c>
      <c r="D20" s="162">
        <v>88</v>
      </c>
      <c r="F20" s="163">
        <v>88</v>
      </c>
      <c r="G20" s="164" t="s">
        <v>59</v>
      </c>
      <c r="H20" s="262"/>
    </row>
    <row r="21" spans="2:8" ht="15.75" customHeight="1" x14ac:dyDescent="0.2">
      <c r="B21" s="160">
        <v>84.16</v>
      </c>
      <c r="C21" s="161">
        <v>85.33</v>
      </c>
      <c r="D21" s="162">
        <v>87</v>
      </c>
      <c r="F21" s="163">
        <v>87</v>
      </c>
      <c r="G21" s="164" t="s">
        <v>59</v>
      </c>
      <c r="H21" s="262"/>
    </row>
    <row r="22" spans="2:8" ht="15.75" customHeight="1" x14ac:dyDescent="0.2">
      <c r="B22" s="160">
        <v>82.98</v>
      </c>
      <c r="C22" s="161">
        <v>84.15</v>
      </c>
      <c r="D22" s="162">
        <v>86</v>
      </c>
      <c r="F22" s="163">
        <v>86</v>
      </c>
      <c r="G22" s="164" t="s">
        <v>59</v>
      </c>
      <c r="H22" s="262"/>
    </row>
    <row r="23" spans="2:8" ht="15.75" customHeight="1" x14ac:dyDescent="0.2">
      <c r="B23" s="160">
        <v>81.8</v>
      </c>
      <c r="C23" s="161">
        <v>82.97</v>
      </c>
      <c r="D23" s="162">
        <v>85</v>
      </c>
      <c r="F23" s="163">
        <v>85</v>
      </c>
      <c r="G23" s="164" t="s">
        <v>59</v>
      </c>
      <c r="H23" s="262"/>
    </row>
    <row r="24" spans="2:8" ht="15.75" customHeight="1" x14ac:dyDescent="0.2">
      <c r="B24" s="160">
        <v>80.62</v>
      </c>
      <c r="C24" s="161">
        <v>81.790000000000006</v>
      </c>
      <c r="D24" s="162">
        <v>84</v>
      </c>
      <c r="F24" s="163">
        <v>84</v>
      </c>
      <c r="G24" s="164" t="s">
        <v>59</v>
      </c>
      <c r="H24" s="262"/>
    </row>
    <row r="25" spans="2:8" ht="15.75" customHeight="1" x14ac:dyDescent="0.2">
      <c r="B25" s="160">
        <v>79.44</v>
      </c>
      <c r="C25" s="161">
        <v>80.61</v>
      </c>
      <c r="D25" s="162">
        <v>83</v>
      </c>
      <c r="F25" s="163">
        <v>83</v>
      </c>
      <c r="G25" s="164" t="s">
        <v>59</v>
      </c>
      <c r="H25" s="262"/>
    </row>
    <row r="26" spans="2:8" ht="15.75" customHeight="1" x14ac:dyDescent="0.2">
      <c r="B26" s="160">
        <v>78.260000000000005</v>
      </c>
      <c r="C26" s="161">
        <v>79.430000000000007</v>
      </c>
      <c r="D26" s="162">
        <v>82</v>
      </c>
      <c r="F26" s="163">
        <v>82</v>
      </c>
      <c r="G26" s="164" t="s">
        <v>59</v>
      </c>
      <c r="H26" s="262"/>
    </row>
    <row r="27" spans="2:8" ht="15.75" customHeight="1" x14ac:dyDescent="0.2">
      <c r="B27" s="160">
        <v>77.08</v>
      </c>
      <c r="C27" s="161">
        <v>78.25</v>
      </c>
      <c r="D27" s="162">
        <v>81</v>
      </c>
      <c r="F27" s="163">
        <v>81</v>
      </c>
      <c r="G27" s="164" t="s">
        <v>59</v>
      </c>
      <c r="H27" s="262"/>
    </row>
    <row r="28" spans="2:8" ht="15.75" customHeight="1" x14ac:dyDescent="0.2">
      <c r="B28" s="160">
        <v>75.900000000000006</v>
      </c>
      <c r="C28" s="161">
        <v>77.069999999999993</v>
      </c>
      <c r="D28" s="162">
        <v>80</v>
      </c>
      <c r="F28" s="163">
        <v>80</v>
      </c>
      <c r="G28" s="164" t="s">
        <v>59</v>
      </c>
      <c r="H28" s="263"/>
    </row>
    <row r="29" spans="2:8" ht="15.75" customHeight="1" x14ac:dyDescent="0.2">
      <c r="B29" s="160">
        <v>74.72</v>
      </c>
      <c r="C29" s="161">
        <v>75.89</v>
      </c>
      <c r="D29" s="162">
        <v>79</v>
      </c>
      <c r="F29" s="163">
        <v>79</v>
      </c>
      <c r="G29" s="164" t="s">
        <v>61</v>
      </c>
      <c r="H29" s="261" t="s">
        <v>62</v>
      </c>
    </row>
    <row r="30" spans="2:8" ht="15.75" customHeight="1" x14ac:dyDescent="0.2">
      <c r="B30" s="160">
        <v>73.540000000000006</v>
      </c>
      <c r="C30" s="161">
        <v>74.709999999999994</v>
      </c>
      <c r="D30" s="162">
        <v>78</v>
      </c>
      <c r="F30" s="163">
        <v>78</v>
      </c>
      <c r="G30" s="164" t="s">
        <v>61</v>
      </c>
      <c r="H30" s="262"/>
    </row>
    <row r="31" spans="2:8" ht="15.75" customHeight="1" x14ac:dyDescent="0.2">
      <c r="B31" s="160">
        <v>72.36</v>
      </c>
      <c r="C31" s="161">
        <v>73.53</v>
      </c>
      <c r="D31" s="162">
        <v>77</v>
      </c>
      <c r="F31" s="163">
        <v>77</v>
      </c>
      <c r="G31" s="164" t="s">
        <v>61</v>
      </c>
      <c r="H31" s="262"/>
    </row>
    <row r="32" spans="2:8" ht="15.75" customHeight="1" x14ac:dyDescent="0.2">
      <c r="B32" s="160">
        <v>71.180000000000007</v>
      </c>
      <c r="C32" s="161">
        <v>72.349999999999994</v>
      </c>
      <c r="D32" s="162">
        <v>76</v>
      </c>
      <c r="F32" s="163">
        <v>76</v>
      </c>
      <c r="G32" s="164" t="s">
        <v>61</v>
      </c>
      <c r="H32" s="262"/>
    </row>
    <row r="33" spans="2:8" ht="15.75" customHeight="1" x14ac:dyDescent="0.2">
      <c r="B33" s="166">
        <v>70</v>
      </c>
      <c r="C33" s="167">
        <v>71.17</v>
      </c>
      <c r="D33" s="168">
        <v>75</v>
      </c>
      <c r="F33" s="163">
        <v>75</v>
      </c>
      <c r="G33" s="164" t="s">
        <v>61</v>
      </c>
      <c r="H33" s="263"/>
    </row>
    <row r="34" spans="2:8" ht="15.75" customHeight="1" x14ac:dyDescent="0.2">
      <c r="B34" s="160">
        <v>65.34</v>
      </c>
      <c r="C34" s="161">
        <v>69.989999999999995</v>
      </c>
      <c r="D34" s="162">
        <v>74</v>
      </c>
      <c r="F34" s="163">
        <v>74</v>
      </c>
      <c r="G34" s="164" t="s">
        <v>63</v>
      </c>
      <c r="H34" s="261" t="s">
        <v>64</v>
      </c>
    </row>
    <row r="35" spans="2:8" ht="15.75" customHeight="1" x14ac:dyDescent="0.2">
      <c r="B35" s="160">
        <v>60.67</v>
      </c>
      <c r="C35" s="161">
        <v>65.33</v>
      </c>
      <c r="D35" s="162">
        <v>73</v>
      </c>
      <c r="F35" s="163">
        <v>73</v>
      </c>
      <c r="G35" s="164" t="s">
        <v>63</v>
      </c>
      <c r="H35" s="262"/>
    </row>
    <row r="36" spans="2:8" ht="15.75" customHeight="1" x14ac:dyDescent="0.2">
      <c r="B36" s="160">
        <v>56.01</v>
      </c>
      <c r="C36" s="161">
        <v>60.66</v>
      </c>
      <c r="D36" s="162">
        <v>72</v>
      </c>
      <c r="F36" s="163">
        <v>72</v>
      </c>
      <c r="G36" s="164" t="s">
        <v>63</v>
      </c>
      <c r="H36" s="262"/>
    </row>
    <row r="37" spans="2:8" ht="15.75" customHeight="1" x14ac:dyDescent="0.2">
      <c r="B37" s="160">
        <v>51.34</v>
      </c>
      <c r="C37" s="169">
        <v>56</v>
      </c>
      <c r="D37" s="162">
        <v>71</v>
      </c>
      <c r="F37" s="163">
        <v>71</v>
      </c>
      <c r="G37" s="164" t="s">
        <v>63</v>
      </c>
      <c r="H37" s="262"/>
    </row>
    <row r="38" spans="2:8" ht="15.75" customHeight="1" x14ac:dyDescent="0.2">
      <c r="B38" s="160">
        <v>46.67</v>
      </c>
      <c r="C38" s="161">
        <v>51.33</v>
      </c>
      <c r="D38" s="162">
        <v>70</v>
      </c>
      <c r="F38" s="163">
        <v>70</v>
      </c>
      <c r="G38" s="164" t="s">
        <v>63</v>
      </c>
      <c r="H38" s="262"/>
    </row>
    <row r="39" spans="2:8" ht="15.75" customHeight="1" x14ac:dyDescent="0.2">
      <c r="B39" s="160">
        <v>42.01</v>
      </c>
      <c r="C39" s="161">
        <v>46.66</v>
      </c>
      <c r="D39" s="162">
        <v>69</v>
      </c>
      <c r="F39" s="163">
        <v>69</v>
      </c>
      <c r="G39" s="164" t="s">
        <v>63</v>
      </c>
      <c r="H39" s="262"/>
    </row>
    <row r="40" spans="2:8" ht="15.75" customHeight="1" x14ac:dyDescent="0.2">
      <c r="B40" s="160">
        <v>37.340000000000003</v>
      </c>
      <c r="C40" s="169">
        <v>42</v>
      </c>
      <c r="D40" s="162">
        <v>68</v>
      </c>
      <c r="F40" s="163">
        <v>68</v>
      </c>
      <c r="G40" s="164" t="s">
        <v>63</v>
      </c>
      <c r="H40" s="262"/>
    </row>
    <row r="41" spans="2:8" ht="15.75" customHeight="1" x14ac:dyDescent="0.2">
      <c r="B41" s="160">
        <v>32.68</v>
      </c>
      <c r="C41" s="161">
        <v>37.33</v>
      </c>
      <c r="D41" s="162">
        <v>67</v>
      </c>
      <c r="F41" s="163">
        <v>67</v>
      </c>
      <c r="G41" s="164" t="s">
        <v>63</v>
      </c>
      <c r="H41" s="262"/>
    </row>
    <row r="42" spans="2:8" ht="15.75" customHeight="1" x14ac:dyDescent="0.2">
      <c r="B42" s="160">
        <v>28.01</v>
      </c>
      <c r="C42" s="161">
        <v>32.67</v>
      </c>
      <c r="D42" s="162">
        <v>66</v>
      </c>
      <c r="F42" s="163">
        <v>66</v>
      </c>
      <c r="G42" s="164" t="s">
        <v>63</v>
      </c>
      <c r="H42" s="262"/>
    </row>
    <row r="43" spans="2:8" ht="15.75" customHeight="1" x14ac:dyDescent="0.2">
      <c r="B43" s="160">
        <v>23.35</v>
      </c>
      <c r="C43" s="169">
        <v>28</v>
      </c>
      <c r="D43" s="162">
        <v>65</v>
      </c>
      <c r="F43" s="163">
        <v>65</v>
      </c>
      <c r="G43" s="164" t="s">
        <v>63</v>
      </c>
      <c r="H43" s="263"/>
    </row>
    <row r="44" spans="2:8" ht="15.75" customHeight="1" x14ac:dyDescent="0.2">
      <c r="B44" s="160">
        <v>18.68</v>
      </c>
      <c r="C44" s="161">
        <v>23.34</v>
      </c>
      <c r="D44" s="162">
        <v>64</v>
      </c>
      <c r="F44" s="163">
        <v>64</v>
      </c>
      <c r="G44" s="164" t="s">
        <v>65</v>
      </c>
      <c r="H44" s="261" t="s">
        <v>66</v>
      </c>
    </row>
    <row r="45" spans="2:8" ht="15.75" customHeight="1" x14ac:dyDescent="0.2">
      <c r="B45" s="160">
        <v>14.01</v>
      </c>
      <c r="C45" s="161">
        <v>18.670000000000002</v>
      </c>
      <c r="D45" s="162">
        <v>63</v>
      </c>
      <c r="F45" s="163">
        <v>63</v>
      </c>
      <c r="G45" s="164" t="s">
        <v>65</v>
      </c>
      <c r="H45" s="262"/>
    </row>
    <row r="46" spans="2:8" ht="15.75" customHeight="1" x14ac:dyDescent="0.2">
      <c r="B46" s="160">
        <v>9.35</v>
      </c>
      <c r="C46" s="169">
        <v>14</v>
      </c>
      <c r="D46" s="162">
        <v>62</v>
      </c>
      <c r="F46" s="163">
        <v>62</v>
      </c>
      <c r="G46" s="164" t="s">
        <v>65</v>
      </c>
      <c r="H46" s="262"/>
    </row>
    <row r="47" spans="2:8" ht="15.75" customHeight="1" x14ac:dyDescent="0.2">
      <c r="B47" s="160">
        <v>4.68</v>
      </c>
      <c r="C47" s="161">
        <v>9.34</v>
      </c>
      <c r="D47" s="162">
        <v>61</v>
      </c>
      <c r="F47" s="163">
        <v>61</v>
      </c>
      <c r="G47" s="164" t="s">
        <v>65</v>
      </c>
      <c r="H47" s="262"/>
    </row>
    <row r="48" spans="2:8" ht="15.75" customHeight="1" x14ac:dyDescent="0.2">
      <c r="B48" s="170">
        <v>0</v>
      </c>
      <c r="C48" s="171">
        <v>4.67</v>
      </c>
      <c r="D48" s="172">
        <v>60</v>
      </c>
      <c r="F48" s="173">
        <v>60</v>
      </c>
      <c r="G48" s="174" t="s">
        <v>65</v>
      </c>
      <c r="H48" s="264"/>
    </row>
    <row r="49" spans="2:8" ht="15.75" customHeight="1" x14ac:dyDescent="0.15">
      <c r="B49" s="144"/>
      <c r="C49" s="144"/>
      <c r="D49" s="144"/>
      <c r="G49" s="144"/>
      <c r="H49" s="175"/>
    </row>
    <row r="50" spans="2:8" ht="15.75" customHeight="1" x14ac:dyDescent="0.15">
      <c r="B50" s="144"/>
      <c r="C50" s="144"/>
      <c r="D50" s="144"/>
      <c r="G50" s="144"/>
      <c r="H50" s="175"/>
    </row>
    <row r="51" spans="2:8" ht="15.75" customHeight="1" x14ac:dyDescent="0.15"/>
    <row r="52" spans="2:8" ht="15.75" customHeight="1" x14ac:dyDescent="0.15"/>
    <row r="53" spans="2:8" ht="15.75" customHeight="1" x14ac:dyDescent="0.15"/>
    <row r="54" spans="2:8" ht="15.75" customHeight="1" x14ac:dyDescent="0.15"/>
    <row r="55" spans="2:8" ht="15.75" customHeight="1" x14ac:dyDescent="0.15"/>
    <row r="56" spans="2:8" ht="15.75" customHeight="1" x14ac:dyDescent="0.15"/>
    <row r="57" spans="2:8" ht="15.75" customHeight="1" x14ac:dyDescent="0.15"/>
    <row r="58" spans="2:8" ht="15.75" customHeight="1" x14ac:dyDescent="0.15"/>
    <row r="59" spans="2:8" ht="15.75" customHeight="1" x14ac:dyDescent="0.15"/>
    <row r="60" spans="2:8" ht="15.75" customHeight="1" x14ac:dyDescent="0.15"/>
    <row r="61" spans="2:8" ht="15.75" customHeight="1" x14ac:dyDescent="0.15"/>
    <row r="62" spans="2:8" ht="15.75" customHeight="1" x14ac:dyDescent="0.15"/>
    <row r="63" spans="2:8" ht="15.75" customHeight="1" x14ac:dyDescent="0.15"/>
    <row r="64" spans="2:8" ht="15.75" customHeight="1" x14ac:dyDescent="0.15"/>
    <row r="65" ht="15.75" customHeight="1" x14ac:dyDescent="0.15"/>
    <row r="66" ht="15.75" customHeight="1" x14ac:dyDescent="0.15"/>
    <row r="67" ht="15.75" customHeight="1" x14ac:dyDescent="0.15"/>
    <row r="68" ht="15.75" customHeight="1" x14ac:dyDescent="0.15"/>
    <row r="69" ht="15.75" customHeight="1" x14ac:dyDescent="0.15"/>
    <row r="70" ht="15.75" customHeight="1" x14ac:dyDescent="0.15"/>
    <row r="71" ht="15.75" customHeight="1" x14ac:dyDescent="0.15"/>
    <row r="72" ht="15.75" customHeight="1" x14ac:dyDescent="0.15"/>
    <row r="73" ht="15.75" customHeight="1" x14ac:dyDescent="0.15"/>
    <row r="74" ht="15.75" customHeight="1" x14ac:dyDescent="0.15"/>
    <row r="75" ht="15.75" customHeight="1" x14ac:dyDescent="0.15"/>
    <row r="76" ht="15.75" customHeight="1" x14ac:dyDescent="0.15"/>
    <row r="77" ht="15.75" customHeight="1" x14ac:dyDescent="0.15"/>
    <row r="78" ht="15.75" customHeight="1" x14ac:dyDescent="0.15"/>
    <row r="79" ht="15.75" customHeight="1" x14ac:dyDescent="0.15"/>
    <row r="80" ht="15.75" customHeight="1" x14ac:dyDescent="0.15"/>
    <row r="81" ht="15.75" customHeight="1" x14ac:dyDescent="0.15"/>
    <row r="82" ht="15.75" customHeight="1" x14ac:dyDescent="0.15"/>
    <row r="83" ht="15.75" customHeight="1" x14ac:dyDescent="0.15"/>
    <row r="84" ht="15.75" customHeight="1" x14ac:dyDescent="0.15"/>
    <row r="85" ht="15.75" customHeight="1" x14ac:dyDescent="0.15"/>
    <row r="86" ht="15.75" customHeight="1" x14ac:dyDescent="0.15"/>
    <row r="87" ht="15.75" customHeight="1" x14ac:dyDescent="0.15"/>
    <row r="88" ht="15.75" customHeight="1" x14ac:dyDescent="0.15"/>
    <row r="89" ht="15.75" customHeight="1" x14ac:dyDescent="0.15"/>
    <row r="90" ht="15.75" customHeight="1" x14ac:dyDescent="0.15"/>
    <row r="91" ht="15.75" customHeight="1" x14ac:dyDescent="0.15"/>
    <row r="92" ht="15.75" customHeight="1" x14ac:dyDescent="0.15"/>
    <row r="93" ht="15.75" customHeight="1" x14ac:dyDescent="0.15"/>
    <row r="94" ht="15.75" customHeight="1" x14ac:dyDescent="0.15"/>
    <row r="95" ht="15.75" customHeight="1" x14ac:dyDescent="0.15"/>
    <row r="96" ht="15.75" customHeight="1" x14ac:dyDescent="0.15"/>
    <row r="97" ht="15.75" customHeight="1" x14ac:dyDescent="0.15"/>
    <row r="98" ht="15.75" customHeight="1" x14ac:dyDescent="0.15"/>
    <row r="99" ht="15.75" customHeight="1" x14ac:dyDescent="0.15"/>
    <row r="100" ht="15.75" customHeight="1" x14ac:dyDescent="0.15"/>
    <row r="101" ht="15.75" customHeight="1" x14ac:dyDescent="0.15"/>
    <row r="102" ht="15.75" customHeight="1" x14ac:dyDescent="0.15"/>
    <row r="103" ht="15.75" customHeight="1" x14ac:dyDescent="0.15"/>
    <row r="104" ht="15.75" customHeight="1" x14ac:dyDescent="0.15"/>
    <row r="105" ht="15.75" customHeight="1" x14ac:dyDescent="0.15"/>
    <row r="106" ht="15.75" customHeight="1" x14ac:dyDescent="0.15"/>
    <row r="107" ht="15.75" customHeight="1" x14ac:dyDescent="0.15"/>
    <row r="108" ht="15.75" customHeight="1" x14ac:dyDescent="0.15"/>
    <row r="109" ht="15.75" customHeight="1" x14ac:dyDescent="0.15"/>
    <row r="110" ht="15.75" customHeight="1" x14ac:dyDescent="0.15"/>
    <row r="111" ht="15.75" customHeight="1" x14ac:dyDescent="0.15"/>
    <row r="112" ht="15.75" customHeight="1" x14ac:dyDescent="0.15"/>
    <row r="113" ht="15.75" customHeight="1" x14ac:dyDescent="0.15"/>
    <row r="114" ht="15.75" customHeight="1" x14ac:dyDescent="0.15"/>
    <row r="115" ht="15.75" customHeight="1" x14ac:dyDescent="0.15"/>
    <row r="116" ht="15.75" customHeight="1" x14ac:dyDescent="0.15"/>
    <row r="117" ht="15.75" customHeight="1" x14ac:dyDescent="0.15"/>
    <row r="118" ht="15.75" customHeight="1" x14ac:dyDescent="0.15"/>
    <row r="119" ht="15.75" customHeight="1" x14ac:dyDescent="0.15"/>
    <row r="120" ht="15.75" customHeight="1" x14ac:dyDescent="0.15"/>
    <row r="121" ht="15.75" customHeight="1" x14ac:dyDescent="0.15"/>
    <row r="122" ht="15.75" customHeight="1" x14ac:dyDescent="0.15"/>
    <row r="123" ht="15.75" customHeight="1" x14ac:dyDescent="0.15"/>
    <row r="124" ht="15.75" customHeight="1" x14ac:dyDescent="0.15"/>
    <row r="125" ht="15.75" customHeight="1" x14ac:dyDescent="0.15"/>
    <row r="126" ht="15.75" customHeight="1" x14ac:dyDescent="0.15"/>
    <row r="127" ht="15.75" customHeight="1" x14ac:dyDescent="0.15"/>
    <row r="128" ht="15.75" customHeight="1" x14ac:dyDescent="0.15"/>
    <row r="129" ht="15.75" customHeight="1" x14ac:dyDescent="0.15"/>
    <row r="130" ht="15.75" customHeight="1" x14ac:dyDescent="0.15"/>
    <row r="131" ht="15.75" customHeight="1" x14ac:dyDescent="0.15"/>
    <row r="132" ht="15.75" customHeight="1" x14ac:dyDescent="0.15"/>
    <row r="133" ht="15.75" customHeight="1" x14ac:dyDescent="0.15"/>
    <row r="134" ht="15.75" customHeight="1" x14ac:dyDescent="0.15"/>
    <row r="135" ht="15.75" customHeight="1" x14ac:dyDescent="0.15"/>
    <row r="136" ht="15.75" customHeight="1" x14ac:dyDescent="0.15"/>
    <row r="137" ht="15.75" customHeight="1" x14ac:dyDescent="0.15"/>
    <row r="138" ht="15.75" customHeight="1" x14ac:dyDescent="0.15"/>
    <row r="139" ht="15.75" customHeight="1" x14ac:dyDescent="0.15"/>
    <row r="140" ht="15.75" customHeight="1" x14ac:dyDescent="0.15"/>
    <row r="141" ht="15.75" customHeight="1" x14ac:dyDescent="0.15"/>
    <row r="142" ht="15.75" customHeight="1" x14ac:dyDescent="0.15"/>
    <row r="143" ht="15.75" customHeight="1" x14ac:dyDescent="0.15"/>
    <row r="144" ht="15.75" customHeight="1" x14ac:dyDescent="0.15"/>
    <row r="145" ht="15.75" customHeight="1" x14ac:dyDescent="0.15"/>
    <row r="146" ht="15.75" customHeight="1" x14ac:dyDescent="0.15"/>
    <row r="147" ht="15.75" customHeight="1" x14ac:dyDescent="0.15"/>
    <row r="148" ht="15.75" customHeight="1" x14ac:dyDescent="0.15"/>
    <row r="149" ht="15.75" customHeight="1" x14ac:dyDescent="0.15"/>
    <row r="150" ht="15.75" customHeight="1" x14ac:dyDescent="0.15"/>
    <row r="151" ht="15.75" customHeight="1" x14ac:dyDescent="0.15"/>
    <row r="152" ht="15.75" customHeight="1" x14ac:dyDescent="0.15"/>
    <row r="153" ht="15.75" customHeight="1" x14ac:dyDescent="0.15"/>
    <row r="154" ht="15.75" customHeight="1" x14ac:dyDescent="0.15"/>
    <row r="155" ht="15.75" customHeight="1" x14ac:dyDescent="0.15"/>
    <row r="156" ht="15.75" customHeight="1" x14ac:dyDescent="0.15"/>
    <row r="157" ht="15.75" customHeight="1" x14ac:dyDescent="0.15"/>
    <row r="158" ht="15.75" customHeight="1" x14ac:dyDescent="0.15"/>
    <row r="159" ht="15.75" customHeight="1" x14ac:dyDescent="0.15"/>
    <row r="160" ht="15.75" customHeight="1" x14ac:dyDescent="0.15"/>
    <row r="161" ht="15.75" customHeight="1" x14ac:dyDescent="0.15"/>
    <row r="162" ht="15.75" customHeight="1" x14ac:dyDescent="0.15"/>
    <row r="163" ht="15.75" customHeight="1" x14ac:dyDescent="0.15"/>
    <row r="164" ht="15.75" customHeight="1" x14ac:dyDescent="0.15"/>
    <row r="165" ht="15.75" customHeight="1" x14ac:dyDescent="0.15"/>
    <row r="166" ht="15.75" customHeight="1" x14ac:dyDescent="0.15"/>
    <row r="167" ht="15.75" customHeight="1" x14ac:dyDescent="0.15"/>
    <row r="168" ht="15.75" customHeight="1" x14ac:dyDescent="0.15"/>
    <row r="169" ht="15.75" customHeight="1" x14ac:dyDescent="0.15"/>
    <row r="170" ht="15.75" customHeight="1" x14ac:dyDescent="0.15"/>
    <row r="171" ht="15.75" customHeight="1" x14ac:dyDescent="0.15"/>
    <row r="172" ht="15.75" customHeight="1" x14ac:dyDescent="0.15"/>
    <row r="173" ht="15.75" customHeight="1" x14ac:dyDescent="0.15"/>
    <row r="174" ht="15.75" customHeight="1" x14ac:dyDescent="0.15"/>
    <row r="175" ht="15.75" customHeight="1" x14ac:dyDescent="0.15"/>
    <row r="176" ht="15.75" customHeight="1" x14ac:dyDescent="0.15"/>
    <row r="177" ht="15.75" customHeight="1" x14ac:dyDescent="0.15"/>
    <row r="178" ht="15.75" customHeight="1" x14ac:dyDescent="0.15"/>
    <row r="179" ht="15.75" customHeight="1" x14ac:dyDescent="0.15"/>
    <row r="180" ht="15.75" customHeight="1" x14ac:dyDescent="0.15"/>
    <row r="181" ht="15.75" customHeight="1" x14ac:dyDescent="0.15"/>
    <row r="182" ht="15.75" customHeight="1" x14ac:dyDescent="0.15"/>
    <row r="183" ht="15.75" customHeight="1" x14ac:dyDescent="0.15"/>
    <row r="184" ht="15.75" customHeight="1" x14ac:dyDescent="0.15"/>
    <row r="185" ht="15.75" customHeight="1" x14ac:dyDescent="0.15"/>
    <row r="186" ht="15.75" customHeight="1" x14ac:dyDescent="0.15"/>
    <row r="187" ht="15.75" customHeight="1" x14ac:dyDescent="0.15"/>
    <row r="188" ht="15.75" customHeight="1" x14ac:dyDescent="0.15"/>
    <row r="189" ht="15.75" customHeight="1" x14ac:dyDescent="0.15"/>
    <row r="190" ht="15.75" customHeight="1" x14ac:dyDescent="0.15"/>
    <row r="191" ht="15.75" customHeight="1" x14ac:dyDescent="0.15"/>
    <row r="192" ht="15.75" customHeight="1" x14ac:dyDescent="0.15"/>
    <row r="193" ht="15.75" customHeight="1" x14ac:dyDescent="0.15"/>
    <row r="194" ht="15.75" customHeight="1" x14ac:dyDescent="0.15"/>
    <row r="195" ht="15.75" customHeight="1" x14ac:dyDescent="0.15"/>
    <row r="196" ht="15.75" customHeight="1" x14ac:dyDescent="0.15"/>
    <row r="197" ht="15.75" customHeight="1" x14ac:dyDescent="0.15"/>
    <row r="198" ht="15.75" customHeight="1" x14ac:dyDescent="0.15"/>
    <row r="199" ht="15.75" customHeight="1" x14ac:dyDescent="0.15"/>
    <row r="200" ht="15.75" customHeight="1" x14ac:dyDescent="0.15"/>
    <row r="201" ht="15.75" customHeight="1" x14ac:dyDescent="0.15"/>
    <row r="202" ht="15.75" customHeight="1" x14ac:dyDescent="0.15"/>
    <row r="203" ht="15.75" customHeight="1" x14ac:dyDescent="0.15"/>
    <row r="204" ht="15.75" customHeight="1" x14ac:dyDescent="0.15"/>
    <row r="205" ht="15.75" customHeight="1" x14ac:dyDescent="0.15"/>
    <row r="206" ht="15.75" customHeight="1" x14ac:dyDescent="0.15"/>
    <row r="207" ht="15.75" customHeight="1" x14ac:dyDescent="0.15"/>
    <row r="208" ht="15.75" customHeight="1" x14ac:dyDescent="0.15"/>
    <row r="209" ht="15.75" customHeight="1" x14ac:dyDescent="0.15"/>
    <row r="210" ht="15.75" customHeight="1" x14ac:dyDescent="0.15"/>
    <row r="211" ht="15.75" customHeight="1" x14ac:dyDescent="0.15"/>
    <row r="212" ht="15.75" customHeight="1" x14ac:dyDescent="0.15"/>
    <row r="213" ht="15.75" customHeight="1" x14ac:dyDescent="0.15"/>
    <row r="214" ht="15.75" customHeight="1" x14ac:dyDescent="0.15"/>
    <row r="215" ht="15.75" customHeight="1" x14ac:dyDescent="0.15"/>
    <row r="216" ht="15.75" customHeight="1" x14ac:dyDescent="0.15"/>
    <row r="217" ht="15.75" customHeight="1" x14ac:dyDescent="0.15"/>
    <row r="218" ht="15.75" customHeight="1" x14ac:dyDescent="0.15"/>
    <row r="219" ht="15.75" customHeight="1" x14ac:dyDescent="0.15"/>
    <row r="220" ht="15.75" customHeight="1" x14ac:dyDescent="0.15"/>
    <row r="221" ht="15.75" customHeight="1" x14ac:dyDescent="0.15"/>
    <row r="222" ht="15.75" customHeight="1" x14ac:dyDescent="0.15"/>
    <row r="223" ht="15.75" customHeight="1" x14ac:dyDescent="0.15"/>
    <row r="224" ht="15.75" customHeight="1" x14ac:dyDescent="0.15"/>
    <row r="225" ht="15.75" customHeight="1" x14ac:dyDescent="0.15"/>
    <row r="226" ht="15.75" customHeight="1" x14ac:dyDescent="0.15"/>
    <row r="227" ht="15.75" customHeight="1" x14ac:dyDescent="0.15"/>
    <row r="228" ht="15.75" customHeight="1" x14ac:dyDescent="0.15"/>
    <row r="229" ht="15.75" customHeight="1" x14ac:dyDescent="0.15"/>
    <row r="230" ht="15.75" customHeight="1" x14ac:dyDescent="0.15"/>
    <row r="231" ht="15.75" customHeight="1" x14ac:dyDescent="0.15"/>
    <row r="232" ht="15.75" customHeight="1" x14ac:dyDescent="0.15"/>
    <row r="233" ht="15.75" customHeight="1" x14ac:dyDescent="0.15"/>
    <row r="234" ht="15.75" customHeight="1" x14ac:dyDescent="0.15"/>
    <row r="235" ht="15.75" customHeight="1" x14ac:dyDescent="0.15"/>
    <row r="236" ht="15.75" customHeight="1" x14ac:dyDescent="0.15"/>
    <row r="237" ht="15.75" customHeight="1" x14ac:dyDescent="0.15"/>
    <row r="238" ht="15.75" customHeight="1" x14ac:dyDescent="0.15"/>
    <row r="239" ht="15.75" customHeight="1" x14ac:dyDescent="0.15"/>
    <row r="240" ht="15.75" customHeight="1" x14ac:dyDescent="0.15"/>
    <row r="241" ht="15.75" customHeight="1" x14ac:dyDescent="0.15"/>
    <row r="242" ht="15.75" customHeight="1" x14ac:dyDescent="0.15"/>
    <row r="243" ht="15.75" customHeight="1" x14ac:dyDescent="0.15"/>
    <row r="244" ht="15.75" customHeight="1" x14ac:dyDescent="0.15"/>
    <row r="245" ht="15.75" customHeight="1" x14ac:dyDescent="0.15"/>
    <row r="246" ht="15.75" customHeight="1" x14ac:dyDescent="0.15"/>
    <row r="247" ht="15.75" customHeight="1" x14ac:dyDescent="0.15"/>
    <row r="248" ht="15.75" customHeight="1" x14ac:dyDescent="0.15"/>
    <row r="249" ht="15.75" customHeight="1" x14ac:dyDescent="0.15"/>
    <row r="250" ht="15.75" customHeight="1" x14ac:dyDescent="0.15"/>
    <row r="251" ht="15.75" customHeight="1" x14ac:dyDescent="0.15"/>
    <row r="252" ht="15.75" customHeight="1" x14ac:dyDescent="0.15"/>
    <row r="253" ht="15.75" customHeight="1" x14ac:dyDescent="0.15"/>
    <row r="254" ht="15.75" customHeight="1" x14ac:dyDescent="0.15"/>
    <row r="255" ht="15.75" customHeight="1" x14ac:dyDescent="0.15"/>
    <row r="256" ht="15.75" customHeight="1" x14ac:dyDescent="0.15"/>
    <row r="257" ht="15.75" customHeight="1" x14ac:dyDescent="0.15"/>
    <row r="258" ht="15.75" customHeight="1" x14ac:dyDescent="0.15"/>
    <row r="259" ht="15.75" customHeight="1" x14ac:dyDescent="0.15"/>
    <row r="260" ht="15.75" customHeight="1" x14ac:dyDescent="0.15"/>
    <row r="261" ht="15.75" customHeight="1" x14ac:dyDescent="0.15"/>
    <row r="262" ht="15.75" customHeight="1" x14ac:dyDescent="0.15"/>
    <row r="263" ht="15.75" customHeight="1" x14ac:dyDescent="0.15"/>
    <row r="264" ht="15.75" customHeight="1" x14ac:dyDescent="0.15"/>
    <row r="265" ht="15.75" customHeight="1" x14ac:dyDescent="0.15"/>
    <row r="266" ht="15.75" customHeight="1" x14ac:dyDescent="0.15"/>
    <row r="267" ht="15.75" customHeight="1" x14ac:dyDescent="0.15"/>
    <row r="268" ht="15.75" customHeight="1" x14ac:dyDescent="0.15"/>
    <row r="269" ht="15.75" customHeight="1" x14ac:dyDescent="0.15"/>
    <row r="270" ht="15.75" customHeight="1" x14ac:dyDescent="0.15"/>
    <row r="271" ht="15.75" customHeight="1" x14ac:dyDescent="0.15"/>
    <row r="272" ht="15.75" customHeight="1" x14ac:dyDescent="0.15"/>
    <row r="273" ht="15.75" customHeight="1" x14ac:dyDescent="0.15"/>
    <row r="274" ht="15.75" customHeight="1" x14ac:dyDescent="0.15"/>
    <row r="275" ht="15.75" customHeight="1" x14ac:dyDescent="0.15"/>
    <row r="276" ht="15.75" customHeight="1" x14ac:dyDescent="0.15"/>
    <row r="277" ht="15.75" customHeight="1" x14ac:dyDescent="0.15"/>
    <row r="278" ht="15.75" customHeight="1" x14ac:dyDescent="0.15"/>
    <row r="279" ht="15.75" customHeight="1" x14ac:dyDescent="0.15"/>
    <row r="280" ht="15.75" customHeight="1" x14ac:dyDescent="0.15"/>
    <row r="281" ht="15.75" customHeight="1" x14ac:dyDescent="0.15"/>
    <row r="282" ht="15.75" customHeight="1" x14ac:dyDescent="0.15"/>
    <row r="283" ht="15.75" customHeight="1" x14ac:dyDescent="0.15"/>
    <row r="284" ht="15.75" customHeight="1" x14ac:dyDescent="0.15"/>
    <row r="285" ht="15.75" customHeight="1" x14ac:dyDescent="0.15"/>
    <row r="286" ht="15.75" customHeight="1" x14ac:dyDescent="0.15"/>
    <row r="287" ht="15.75" customHeight="1" x14ac:dyDescent="0.15"/>
    <row r="288" ht="15.75" customHeight="1" x14ac:dyDescent="0.15"/>
    <row r="289" ht="15.75" customHeight="1" x14ac:dyDescent="0.15"/>
    <row r="290" ht="15.75" customHeight="1" x14ac:dyDescent="0.15"/>
    <row r="291" ht="15.75" customHeight="1" x14ac:dyDescent="0.15"/>
    <row r="292" ht="15.75" customHeight="1" x14ac:dyDescent="0.15"/>
    <row r="293" ht="15.75" customHeight="1" x14ac:dyDescent="0.15"/>
    <row r="294" ht="15.75" customHeight="1" x14ac:dyDescent="0.15"/>
    <row r="295" ht="15.75" customHeight="1" x14ac:dyDescent="0.15"/>
    <row r="296" ht="15.75" customHeight="1" x14ac:dyDescent="0.15"/>
    <row r="297" ht="15.75" customHeight="1" x14ac:dyDescent="0.15"/>
    <row r="298" ht="15.75" customHeight="1" x14ac:dyDescent="0.15"/>
    <row r="299" ht="15.75" customHeight="1" x14ac:dyDescent="0.15"/>
    <row r="300" ht="15.75" customHeight="1" x14ac:dyDescent="0.15"/>
    <row r="301" ht="15.75" customHeight="1" x14ac:dyDescent="0.15"/>
    <row r="302" ht="15.75" customHeight="1" x14ac:dyDescent="0.15"/>
    <row r="303" ht="15.75" customHeight="1" x14ac:dyDescent="0.15"/>
    <row r="304" ht="15.75" customHeight="1" x14ac:dyDescent="0.15"/>
    <row r="305" ht="15.75" customHeight="1" x14ac:dyDescent="0.15"/>
    <row r="306" ht="15.75" customHeight="1" x14ac:dyDescent="0.15"/>
    <row r="307" ht="15.75" customHeight="1" x14ac:dyDescent="0.15"/>
    <row r="308" ht="15.75" customHeight="1" x14ac:dyDescent="0.15"/>
    <row r="309" ht="15.75" customHeight="1" x14ac:dyDescent="0.15"/>
    <row r="310" ht="15.75" customHeight="1" x14ac:dyDescent="0.15"/>
    <row r="311" ht="15.75" customHeight="1" x14ac:dyDescent="0.15"/>
    <row r="312" ht="15.75" customHeight="1" x14ac:dyDescent="0.15"/>
    <row r="313" ht="15.75" customHeight="1" x14ac:dyDescent="0.15"/>
    <row r="314" ht="15.75" customHeight="1" x14ac:dyDescent="0.15"/>
    <row r="315" ht="15.75" customHeight="1" x14ac:dyDescent="0.15"/>
    <row r="316" ht="15.75" customHeight="1" x14ac:dyDescent="0.15"/>
    <row r="317" ht="15.75" customHeight="1" x14ac:dyDescent="0.15"/>
    <row r="318" ht="15.75" customHeight="1" x14ac:dyDescent="0.15"/>
    <row r="319" ht="15.75" customHeight="1" x14ac:dyDescent="0.15"/>
    <row r="320" ht="15.75" customHeight="1" x14ac:dyDescent="0.15"/>
    <row r="321" ht="15.75" customHeight="1" x14ac:dyDescent="0.15"/>
    <row r="322" ht="15.75" customHeight="1" x14ac:dyDescent="0.15"/>
    <row r="323" ht="15.75" customHeight="1" x14ac:dyDescent="0.15"/>
    <row r="324" ht="15.75" customHeight="1" x14ac:dyDescent="0.15"/>
    <row r="325" ht="15.75" customHeight="1" x14ac:dyDescent="0.15"/>
    <row r="326" ht="15.75" customHeight="1" x14ac:dyDescent="0.15"/>
    <row r="327" ht="15.75" customHeight="1" x14ac:dyDescent="0.15"/>
    <row r="328" ht="15.75" customHeight="1" x14ac:dyDescent="0.15"/>
    <row r="329" ht="15.75" customHeight="1" x14ac:dyDescent="0.15"/>
    <row r="330" ht="15.75" customHeight="1" x14ac:dyDescent="0.15"/>
    <row r="331" ht="15.75" customHeight="1" x14ac:dyDescent="0.15"/>
    <row r="332" ht="15.75" customHeight="1" x14ac:dyDescent="0.15"/>
    <row r="333" ht="15.75" customHeight="1" x14ac:dyDescent="0.15"/>
    <row r="334" ht="15.75" customHeight="1" x14ac:dyDescent="0.15"/>
    <row r="335" ht="15.75" customHeight="1" x14ac:dyDescent="0.15"/>
    <row r="336" ht="15.75" customHeight="1" x14ac:dyDescent="0.15"/>
    <row r="337" ht="15.75" customHeight="1" x14ac:dyDescent="0.15"/>
    <row r="338" ht="15.75" customHeight="1" x14ac:dyDescent="0.15"/>
    <row r="339" ht="15.75" customHeight="1" x14ac:dyDescent="0.15"/>
    <row r="340" ht="15.75" customHeight="1" x14ac:dyDescent="0.15"/>
    <row r="341" ht="15.75" customHeight="1" x14ac:dyDescent="0.15"/>
    <row r="342" ht="15.75" customHeight="1" x14ac:dyDescent="0.15"/>
    <row r="343" ht="15.75" customHeight="1" x14ac:dyDescent="0.15"/>
    <row r="344" ht="15.75" customHeight="1" x14ac:dyDescent="0.15"/>
    <row r="345" ht="15.75" customHeight="1" x14ac:dyDescent="0.15"/>
    <row r="346" ht="15.75" customHeight="1" x14ac:dyDescent="0.15"/>
    <row r="347" ht="15.75" customHeight="1" x14ac:dyDescent="0.15"/>
    <row r="348" ht="15.75" customHeight="1" x14ac:dyDescent="0.15"/>
    <row r="349" ht="15.75" customHeight="1" x14ac:dyDescent="0.15"/>
    <row r="350" ht="15.75" customHeight="1" x14ac:dyDescent="0.15"/>
    <row r="351" ht="15.75" customHeight="1" x14ac:dyDescent="0.15"/>
    <row r="352" ht="15.75" customHeight="1" x14ac:dyDescent="0.15"/>
    <row r="353" ht="15.75" customHeight="1" x14ac:dyDescent="0.15"/>
    <row r="354" ht="15.75" customHeight="1" x14ac:dyDescent="0.15"/>
    <row r="355" ht="15.75" customHeight="1" x14ac:dyDescent="0.15"/>
    <row r="356" ht="15.75" customHeight="1" x14ac:dyDescent="0.15"/>
    <row r="357" ht="15.75" customHeight="1" x14ac:dyDescent="0.15"/>
    <row r="358" ht="15.75" customHeight="1" x14ac:dyDescent="0.15"/>
    <row r="359" ht="15.75" customHeight="1" x14ac:dyDescent="0.15"/>
    <row r="360" ht="15.75" customHeight="1" x14ac:dyDescent="0.15"/>
    <row r="361" ht="15.75" customHeight="1" x14ac:dyDescent="0.15"/>
    <row r="362" ht="15.75" customHeight="1" x14ac:dyDescent="0.15"/>
    <row r="363" ht="15.75" customHeight="1" x14ac:dyDescent="0.15"/>
    <row r="364" ht="15.75" customHeight="1" x14ac:dyDescent="0.15"/>
    <row r="365" ht="15.75" customHeight="1" x14ac:dyDescent="0.15"/>
    <row r="366" ht="15.75" customHeight="1" x14ac:dyDescent="0.15"/>
    <row r="367" ht="15.75" customHeight="1" x14ac:dyDescent="0.15"/>
    <row r="368" ht="15.75" customHeight="1" x14ac:dyDescent="0.15"/>
    <row r="369" ht="15.75" customHeight="1" x14ac:dyDescent="0.15"/>
    <row r="370" ht="15.75" customHeight="1" x14ac:dyDescent="0.15"/>
    <row r="371" ht="15.75" customHeight="1" x14ac:dyDescent="0.15"/>
    <row r="372" ht="15.75" customHeight="1" x14ac:dyDescent="0.15"/>
    <row r="373" ht="15.75" customHeight="1" x14ac:dyDescent="0.15"/>
    <row r="374" ht="15.75" customHeight="1" x14ac:dyDescent="0.15"/>
    <row r="375" ht="15.75" customHeight="1" x14ac:dyDescent="0.15"/>
    <row r="376" ht="15.75" customHeight="1" x14ac:dyDescent="0.15"/>
    <row r="377" ht="15.75" customHeight="1" x14ac:dyDescent="0.15"/>
    <row r="378" ht="15.75" customHeight="1" x14ac:dyDescent="0.15"/>
    <row r="379" ht="15.75" customHeight="1" x14ac:dyDescent="0.15"/>
    <row r="380" ht="15.75" customHeight="1" x14ac:dyDescent="0.15"/>
    <row r="381" ht="15.75" customHeight="1" x14ac:dyDescent="0.15"/>
    <row r="382" ht="15.75" customHeight="1" x14ac:dyDescent="0.15"/>
    <row r="383" ht="15.75" customHeight="1" x14ac:dyDescent="0.15"/>
    <row r="384" ht="15.75" customHeight="1" x14ac:dyDescent="0.15"/>
    <row r="385" ht="15.75" customHeight="1" x14ac:dyDescent="0.15"/>
    <row r="386" ht="15.75" customHeight="1" x14ac:dyDescent="0.15"/>
    <row r="387" ht="15.75" customHeight="1" x14ac:dyDescent="0.15"/>
    <row r="388" ht="15.75" customHeight="1" x14ac:dyDescent="0.15"/>
    <row r="389" ht="15.75" customHeight="1" x14ac:dyDescent="0.15"/>
    <row r="390" ht="15.75" customHeight="1" x14ac:dyDescent="0.15"/>
    <row r="391" ht="15.75" customHeight="1" x14ac:dyDescent="0.15"/>
    <row r="392" ht="15.75" customHeight="1" x14ac:dyDescent="0.15"/>
    <row r="393" ht="15.75" customHeight="1" x14ac:dyDescent="0.15"/>
    <row r="394" ht="15.75" customHeight="1" x14ac:dyDescent="0.15"/>
    <row r="395" ht="15.75" customHeight="1" x14ac:dyDescent="0.15"/>
    <row r="396" ht="15.75" customHeight="1" x14ac:dyDescent="0.15"/>
    <row r="397" ht="15.75" customHeight="1" x14ac:dyDescent="0.15"/>
    <row r="398" ht="15.75" customHeight="1" x14ac:dyDescent="0.15"/>
    <row r="399" ht="15.75" customHeight="1" x14ac:dyDescent="0.15"/>
    <row r="400" ht="15.75" customHeight="1" x14ac:dyDescent="0.15"/>
    <row r="401" ht="15.75" customHeight="1" x14ac:dyDescent="0.15"/>
    <row r="402" ht="15.75" customHeight="1" x14ac:dyDescent="0.15"/>
    <row r="403" ht="15.75" customHeight="1" x14ac:dyDescent="0.15"/>
    <row r="404" ht="15.75" customHeight="1" x14ac:dyDescent="0.15"/>
    <row r="405" ht="15.75" customHeight="1" x14ac:dyDescent="0.15"/>
    <row r="406" ht="15.75" customHeight="1" x14ac:dyDescent="0.15"/>
    <row r="407" ht="15.75" customHeight="1" x14ac:dyDescent="0.15"/>
    <row r="408" ht="15.75" customHeight="1" x14ac:dyDescent="0.15"/>
    <row r="409" ht="15.75" customHeight="1" x14ac:dyDescent="0.15"/>
    <row r="410" ht="15.75" customHeight="1" x14ac:dyDescent="0.15"/>
    <row r="411" ht="15.75" customHeight="1" x14ac:dyDescent="0.15"/>
    <row r="412" ht="15.75" customHeight="1" x14ac:dyDescent="0.15"/>
    <row r="413" ht="15.75" customHeight="1" x14ac:dyDescent="0.15"/>
    <row r="414" ht="15.75" customHeight="1" x14ac:dyDescent="0.15"/>
    <row r="415" ht="15.75" customHeight="1" x14ac:dyDescent="0.15"/>
    <row r="416" ht="15.75" customHeight="1" x14ac:dyDescent="0.15"/>
    <row r="417" ht="15.75" customHeight="1" x14ac:dyDescent="0.15"/>
    <row r="418" ht="15.75" customHeight="1" x14ac:dyDescent="0.15"/>
    <row r="419" ht="15.75" customHeight="1" x14ac:dyDescent="0.15"/>
    <row r="420" ht="15.75" customHeight="1" x14ac:dyDescent="0.15"/>
    <row r="421" ht="15.75" customHeight="1" x14ac:dyDescent="0.15"/>
    <row r="422" ht="15.75" customHeight="1" x14ac:dyDescent="0.15"/>
    <row r="423" ht="15.75" customHeight="1" x14ac:dyDescent="0.15"/>
    <row r="424" ht="15.75" customHeight="1" x14ac:dyDescent="0.15"/>
    <row r="425" ht="15.75" customHeight="1" x14ac:dyDescent="0.15"/>
    <row r="426" ht="15.75" customHeight="1" x14ac:dyDescent="0.15"/>
    <row r="427" ht="15.75" customHeight="1" x14ac:dyDescent="0.15"/>
    <row r="428" ht="15.75" customHeight="1" x14ac:dyDescent="0.15"/>
    <row r="429" ht="15.75" customHeight="1" x14ac:dyDescent="0.15"/>
    <row r="430" ht="15.75" customHeight="1" x14ac:dyDescent="0.15"/>
    <row r="431" ht="15.75" customHeight="1" x14ac:dyDescent="0.15"/>
    <row r="432" ht="15.75" customHeight="1" x14ac:dyDescent="0.15"/>
    <row r="433" ht="15.75" customHeight="1" x14ac:dyDescent="0.15"/>
    <row r="434" ht="15.75" customHeight="1" x14ac:dyDescent="0.15"/>
    <row r="435" ht="15.75" customHeight="1" x14ac:dyDescent="0.15"/>
    <row r="436" ht="15.75" customHeight="1" x14ac:dyDescent="0.15"/>
    <row r="437" ht="15.75" customHeight="1" x14ac:dyDescent="0.15"/>
    <row r="438" ht="15.75" customHeight="1" x14ac:dyDescent="0.15"/>
    <row r="439" ht="15.75" customHeight="1" x14ac:dyDescent="0.15"/>
    <row r="440" ht="15.75" customHeight="1" x14ac:dyDescent="0.15"/>
    <row r="441" ht="15.75" customHeight="1" x14ac:dyDescent="0.15"/>
    <row r="442" ht="15.75" customHeight="1" x14ac:dyDescent="0.15"/>
    <row r="443" ht="15.75" customHeight="1" x14ac:dyDescent="0.15"/>
    <row r="444" ht="15.75" customHeight="1" x14ac:dyDescent="0.15"/>
    <row r="445" ht="15.75" customHeight="1" x14ac:dyDescent="0.15"/>
    <row r="446" ht="15.75" customHeight="1" x14ac:dyDescent="0.15"/>
    <row r="447" ht="15.75" customHeight="1" x14ac:dyDescent="0.15"/>
    <row r="448" ht="15.75" customHeight="1" x14ac:dyDescent="0.15"/>
    <row r="449" ht="15.75" customHeight="1" x14ac:dyDescent="0.15"/>
    <row r="450" ht="15.75" customHeight="1" x14ac:dyDescent="0.15"/>
    <row r="451" ht="15.75" customHeight="1" x14ac:dyDescent="0.15"/>
    <row r="452" ht="15.75" customHeight="1" x14ac:dyDescent="0.15"/>
    <row r="453" ht="15.75" customHeight="1" x14ac:dyDescent="0.15"/>
    <row r="454" ht="15.75" customHeight="1" x14ac:dyDescent="0.15"/>
    <row r="455" ht="15.75" customHeight="1" x14ac:dyDescent="0.15"/>
    <row r="456" ht="15.75" customHeight="1" x14ac:dyDescent="0.15"/>
    <row r="457" ht="15.75" customHeight="1" x14ac:dyDescent="0.15"/>
    <row r="458" ht="15.75" customHeight="1" x14ac:dyDescent="0.15"/>
    <row r="459" ht="15.75" customHeight="1" x14ac:dyDescent="0.15"/>
    <row r="460" ht="15.75" customHeight="1" x14ac:dyDescent="0.15"/>
    <row r="461" ht="15.75" customHeight="1" x14ac:dyDescent="0.15"/>
    <row r="462" ht="15.75" customHeight="1" x14ac:dyDescent="0.15"/>
    <row r="463" ht="15.75" customHeight="1" x14ac:dyDescent="0.15"/>
    <row r="464" ht="15.75" customHeight="1" x14ac:dyDescent="0.15"/>
    <row r="465" ht="15.75" customHeight="1" x14ac:dyDescent="0.15"/>
    <row r="466" ht="15.75" customHeight="1" x14ac:dyDescent="0.15"/>
    <row r="467" ht="15.75" customHeight="1" x14ac:dyDescent="0.15"/>
    <row r="468" ht="15.75" customHeight="1" x14ac:dyDescent="0.15"/>
    <row r="469" ht="15.75" customHeight="1" x14ac:dyDescent="0.15"/>
    <row r="470" ht="15.75" customHeight="1" x14ac:dyDescent="0.15"/>
    <row r="471" ht="15.75" customHeight="1" x14ac:dyDescent="0.15"/>
    <row r="472" ht="15.75" customHeight="1" x14ac:dyDescent="0.15"/>
    <row r="473" ht="15.75" customHeight="1" x14ac:dyDescent="0.15"/>
    <row r="474" ht="15.75" customHeight="1" x14ac:dyDescent="0.15"/>
    <row r="475" ht="15.75" customHeight="1" x14ac:dyDescent="0.15"/>
    <row r="476" ht="15.75" customHeight="1" x14ac:dyDescent="0.15"/>
    <row r="477" ht="15.75" customHeight="1" x14ac:dyDescent="0.15"/>
    <row r="478" ht="15.75" customHeight="1" x14ac:dyDescent="0.15"/>
    <row r="479" ht="15.75" customHeight="1" x14ac:dyDescent="0.15"/>
    <row r="480" ht="15.75" customHeight="1" x14ac:dyDescent="0.15"/>
    <row r="481" ht="15.75" customHeight="1" x14ac:dyDescent="0.15"/>
    <row r="482" ht="15.75" customHeight="1" x14ac:dyDescent="0.15"/>
    <row r="483" ht="15.75" customHeight="1" x14ac:dyDescent="0.15"/>
    <row r="484" ht="15.75" customHeight="1" x14ac:dyDescent="0.15"/>
    <row r="485" ht="15.75" customHeight="1" x14ac:dyDescent="0.15"/>
    <row r="486" ht="15.75" customHeight="1" x14ac:dyDescent="0.15"/>
    <row r="487" ht="15.75" customHeight="1" x14ac:dyDescent="0.15"/>
    <row r="488" ht="15.75" customHeight="1" x14ac:dyDescent="0.15"/>
    <row r="489" ht="15.75" customHeight="1" x14ac:dyDescent="0.15"/>
    <row r="490" ht="15.75" customHeight="1" x14ac:dyDescent="0.15"/>
    <row r="491" ht="15.75" customHeight="1" x14ac:dyDescent="0.15"/>
    <row r="492" ht="15.75" customHeight="1" x14ac:dyDescent="0.15"/>
    <row r="493" ht="15.75" customHeight="1" x14ac:dyDescent="0.15"/>
    <row r="494" ht="15.75" customHeight="1" x14ac:dyDescent="0.15"/>
    <row r="495" ht="15.75" customHeight="1" x14ac:dyDescent="0.15"/>
    <row r="496" ht="15.75" customHeight="1" x14ac:dyDescent="0.15"/>
    <row r="497" ht="15.75" customHeight="1" x14ac:dyDescent="0.15"/>
    <row r="498" ht="15.75" customHeight="1" x14ac:dyDescent="0.15"/>
    <row r="499" ht="15.75" customHeight="1" x14ac:dyDescent="0.15"/>
    <row r="500" ht="15.75" customHeight="1" x14ac:dyDescent="0.15"/>
    <row r="501" ht="15.75" customHeight="1" x14ac:dyDescent="0.15"/>
    <row r="502" ht="15.75" customHeight="1" x14ac:dyDescent="0.15"/>
    <row r="503" ht="15.75" customHeight="1" x14ac:dyDescent="0.15"/>
    <row r="504" ht="15.75" customHeight="1" x14ac:dyDescent="0.15"/>
    <row r="505" ht="15.75" customHeight="1" x14ac:dyDescent="0.15"/>
    <row r="506" ht="15.75" customHeight="1" x14ac:dyDescent="0.15"/>
    <row r="507" ht="15.75" customHeight="1" x14ac:dyDescent="0.15"/>
    <row r="508" ht="15.75" customHeight="1" x14ac:dyDescent="0.15"/>
    <row r="509" ht="15.75" customHeight="1" x14ac:dyDescent="0.15"/>
    <row r="510" ht="15.75" customHeight="1" x14ac:dyDescent="0.15"/>
    <row r="511" ht="15.75" customHeight="1" x14ac:dyDescent="0.15"/>
    <row r="512" ht="15.75" customHeight="1" x14ac:dyDescent="0.15"/>
    <row r="513" ht="15.75" customHeight="1" x14ac:dyDescent="0.15"/>
    <row r="514" ht="15.75" customHeight="1" x14ac:dyDescent="0.15"/>
    <row r="515" ht="15.75" customHeight="1" x14ac:dyDescent="0.15"/>
    <row r="516" ht="15.75" customHeight="1" x14ac:dyDescent="0.15"/>
    <row r="517" ht="15.75" customHeight="1" x14ac:dyDescent="0.15"/>
    <row r="518" ht="15.75" customHeight="1" x14ac:dyDescent="0.15"/>
    <row r="519" ht="15.75" customHeight="1" x14ac:dyDescent="0.15"/>
    <row r="520" ht="15.75" customHeight="1" x14ac:dyDescent="0.15"/>
    <row r="521" ht="15.75" customHeight="1" x14ac:dyDescent="0.15"/>
    <row r="522" ht="15.75" customHeight="1" x14ac:dyDescent="0.15"/>
    <row r="523" ht="15.75" customHeight="1" x14ac:dyDescent="0.15"/>
    <row r="524" ht="15.75" customHeight="1" x14ac:dyDescent="0.15"/>
    <row r="525" ht="15.75" customHeight="1" x14ac:dyDescent="0.15"/>
    <row r="526" ht="15.75" customHeight="1" x14ac:dyDescent="0.15"/>
    <row r="527" ht="15.75" customHeight="1" x14ac:dyDescent="0.15"/>
    <row r="528" ht="15.75" customHeight="1" x14ac:dyDescent="0.15"/>
    <row r="529" ht="15.75" customHeight="1" x14ac:dyDescent="0.15"/>
    <row r="530" ht="15.75" customHeight="1" x14ac:dyDescent="0.15"/>
    <row r="531" ht="15.75" customHeight="1" x14ac:dyDescent="0.15"/>
    <row r="532" ht="15.75" customHeight="1" x14ac:dyDescent="0.15"/>
    <row r="533" ht="15.75" customHeight="1" x14ac:dyDescent="0.15"/>
    <row r="534" ht="15.75" customHeight="1" x14ac:dyDescent="0.15"/>
    <row r="535" ht="15.75" customHeight="1" x14ac:dyDescent="0.15"/>
    <row r="536" ht="15.75" customHeight="1" x14ac:dyDescent="0.15"/>
    <row r="537" ht="15.75" customHeight="1" x14ac:dyDescent="0.15"/>
    <row r="538" ht="15.75" customHeight="1" x14ac:dyDescent="0.15"/>
    <row r="539" ht="15.75" customHeight="1" x14ac:dyDescent="0.15"/>
    <row r="540" ht="15.75" customHeight="1" x14ac:dyDescent="0.15"/>
    <row r="541" ht="15.75" customHeight="1" x14ac:dyDescent="0.15"/>
    <row r="542" ht="15.75" customHeight="1" x14ac:dyDescent="0.15"/>
    <row r="543" ht="15.75" customHeight="1" x14ac:dyDescent="0.15"/>
    <row r="544" ht="15.75" customHeight="1" x14ac:dyDescent="0.15"/>
    <row r="545" ht="15.75" customHeight="1" x14ac:dyDescent="0.15"/>
    <row r="546" ht="15.75" customHeight="1" x14ac:dyDescent="0.15"/>
    <row r="547" ht="15.75" customHeight="1" x14ac:dyDescent="0.15"/>
    <row r="548" ht="15.75" customHeight="1" x14ac:dyDescent="0.15"/>
    <row r="549" ht="15.75" customHeight="1" x14ac:dyDescent="0.15"/>
    <row r="550" ht="15.75" customHeight="1" x14ac:dyDescent="0.15"/>
    <row r="551" ht="15.75" customHeight="1" x14ac:dyDescent="0.15"/>
    <row r="552" ht="15.75" customHeight="1" x14ac:dyDescent="0.15"/>
    <row r="553" ht="15.75" customHeight="1" x14ac:dyDescent="0.15"/>
    <row r="554" ht="15.75" customHeight="1" x14ac:dyDescent="0.15"/>
    <row r="555" ht="15.75" customHeight="1" x14ac:dyDescent="0.15"/>
    <row r="556" ht="15.75" customHeight="1" x14ac:dyDescent="0.15"/>
    <row r="557" ht="15.75" customHeight="1" x14ac:dyDescent="0.15"/>
    <row r="558" ht="15.75" customHeight="1" x14ac:dyDescent="0.15"/>
    <row r="559" ht="15.75" customHeight="1" x14ac:dyDescent="0.15"/>
    <row r="560" ht="15.75" customHeight="1" x14ac:dyDescent="0.15"/>
    <row r="561" ht="15.75" customHeight="1" x14ac:dyDescent="0.15"/>
    <row r="562" ht="15.75" customHeight="1" x14ac:dyDescent="0.15"/>
    <row r="563" ht="15.75" customHeight="1" x14ac:dyDescent="0.15"/>
    <row r="564" ht="15.75" customHeight="1" x14ac:dyDescent="0.15"/>
    <row r="565" ht="15.75" customHeight="1" x14ac:dyDescent="0.15"/>
    <row r="566" ht="15.75" customHeight="1" x14ac:dyDescent="0.15"/>
    <row r="567" ht="15.75" customHeight="1" x14ac:dyDescent="0.15"/>
    <row r="568" ht="15.75" customHeight="1" x14ac:dyDescent="0.15"/>
    <row r="569" ht="15.75" customHeight="1" x14ac:dyDescent="0.15"/>
    <row r="570" ht="15.75" customHeight="1" x14ac:dyDescent="0.15"/>
    <row r="571" ht="15.75" customHeight="1" x14ac:dyDescent="0.15"/>
    <row r="572" ht="15.75" customHeight="1" x14ac:dyDescent="0.15"/>
    <row r="573" ht="15.75" customHeight="1" x14ac:dyDescent="0.15"/>
    <row r="574" ht="15.75" customHeight="1" x14ac:dyDescent="0.15"/>
    <row r="575" ht="15.75" customHeight="1" x14ac:dyDescent="0.15"/>
    <row r="576" ht="15.75" customHeight="1" x14ac:dyDescent="0.15"/>
    <row r="577" ht="15.75" customHeight="1" x14ac:dyDescent="0.15"/>
    <row r="578" ht="15.75" customHeight="1" x14ac:dyDescent="0.15"/>
    <row r="579" ht="15.75" customHeight="1" x14ac:dyDescent="0.15"/>
    <row r="580" ht="15.75" customHeight="1" x14ac:dyDescent="0.15"/>
    <row r="581" ht="15.75" customHeight="1" x14ac:dyDescent="0.15"/>
    <row r="582" ht="15.75" customHeight="1" x14ac:dyDescent="0.15"/>
    <row r="583" ht="15.75" customHeight="1" x14ac:dyDescent="0.15"/>
    <row r="584" ht="15.75" customHeight="1" x14ac:dyDescent="0.15"/>
    <row r="585" ht="15.75" customHeight="1" x14ac:dyDescent="0.15"/>
    <row r="586" ht="15.75" customHeight="1" x14ac:dyDescent="0.15"/>
    <row r="587" ht="15.75" customHeight="1" x14ac:dyDescent="0.15"/>
    <row r="588" ht="15.75" customHeight="1" x14ac:dyDescent="0.15"/>
    <row r="589" ht="15.75" customHeight="1" x14ac:dyDescent="0.15"/>
    <row r="590" ht="15.75" customHeight="1" x14ac:dyDescent="0.15"/>
    <row r="591" ht="15.75" customHeight="1" x14ac:dyDescent="0.15"/>
    <row r="592" ht="15.75" customHeight="1" x14ac:dyDescent="0.15"/>
    <row r="593" ht="15.75" customHeight="1" x14ac:dyDescent="0.15"/>
    <row r="594" ht="15.75" customHeight="1" x14ac:dyDescent="0.15"/>
    <row r="595" ht="15.75" customHeight="1" x14ac:dyDescent="0.15"/>
    <row r="596" ht="15.75" customHeight="1" x14ac:dyDescent="0.15"/>
    <row r="597" ht="15.75" customHeight="1" x14ac:dyDescent="0.15"/>
    <row r="598" ht="15.75" customHeight="1" x14ac:dyDescent="0.15"/>
    <row r="599" ht="15.75" customHeight="1" x14ac:dyDescent="0.15"/>
    <row r="600" ht="15.75" customHeight="1" x14ac:dyDescent="0.15"/>
    <row r="601" ht="15.75" customHeight="1" x14ac:dyDescent="0.15"/>
    <row r="602" ht="15.75" customHeight="1" x14ac:dyDescent="0.15"/>
    <row r="603" ht="15.75" customHeight="1" x14ac:dyDescent="0.15"/>
    <row r="604" ht="15.75" customHeight="1" x14ac:dyDescent="0.15"/>
    <row r="605" ht="15.75" customHeight="1" x14ac:dyDescent="0.15"/>
    <row r="606" ht="15.75" customHeight="1" x14ac:dyDescent="0.15"/>
    <row r="607" ht="15.75" customHeight="1" x14ac:dyDescent="0.15"/>
    <row r="608" ht="15.75" customHeight="1" x14ac:dyDescent="0.15"/>
    <row r="609" ht="15.75" customHeight="1" x14ac:dyDescent="0.15"/>
    <row r="610" ht="15.75" customHeight="1" x14ac:dyDescent="0.15"/>
    <row r="611" ht="15.75" customHeight="1" x14ac:dyDescent="0.15"/>
    <row r="612" ht="15.75" customHeight="1" x14ac:dyDescent="0.15"/>
    <row r="613" ht="15.75" customHeight="1" x14ac:dyDescent="0.15"/>
    <row r="614" ht="15.75" customHeight="1" x14ac:dyDescent="0.15"/>
    <row r="615" ht="15.75" customHeight="1" x14ac:dyDescent="0.15"/>
    <row r="616" ht="15.75" customHeight="1" x14ac:dyDescent="0.15"/>
    <row r="617" ht="15.75" customHeight="1" x14ac:dyDescent="0.15"/>
    <row r="618" ht="15.75" customHeight="1" x14ac:dyDescent="0.15"/>
    <row r="619" ht="15.75" customHeight="1" x14ac:dyDescent="0.15"/>
    <row r="620" ht="15.75" customHeight="1" x14ac:dyDescent="0.15"/>
    <row r="621" ht="15.75" customHeight="1" x14ac:dyDescent="0.15"/>
    <row r="622" ht="15.75" customHeight="1" x14ac:dyDescent="0.15"/>
    <row r="623" ht="15.75" customHeight="1" x14ac:dyDescent="0.15"/>
    <row r="624" ht="15.75" customHeight="1" x14ac:dyDescent="0.15"/>
    <row r="625" ht="15.75" customHeight="1" x14ac:dyDescent="0.15"/>
    <row r="626" ht="15.75" customHeight="1" x14ac:dyDescent="0.15"/>
    <row r="627" ht="15.75" customHeight="1" x14ac:dyDescent="0.15"/>
    <row r="628" ht="15.75" customHeight="1" x14ac:dyDescent="0.15"/>
    <row r="629" ht="15.75" customHeight="1" x14ac:dyDescent="0.15"/>
    <row r="630" ht="15.75" customHeight="1" x14ac:dyDescent="0.15"/>
    <row r="631" ht="15.75" customHeight="1" x14ac:dyDescent="0.15"/>
    <row r="632" ht="15.75" customHeight="1" x14ac:dyDescent="0.15"/>
    <row r="633" ht="15.75" customHeight="1" x14ac:dyDescent="0.15"/>
    <row r="634" ht="15.75" customHeight="1" x14ac:dyDescent="0.15"/>
    <row r="635" ht="15.75" customHeight="1" x14ac:dyDescent="0.15"/>
    <row r="636" ht="15.75" customHeight="1" x14ac:dyDescent="0.15"/>
    <row r="637" ht="15.75" customHeight="1" x14ac:dyDescent="0.15"/>
    <row r="638" ht="15.75" customHeight="1" x14ac:dyDescent="0.15"/>
    <row r="639" ht="15.75" customHeight="1" x14ac:dyDescent="0.15"/>
    <row r="640" ht="15.75" customHeight="1" x14ac:dyDescent="0.15"/>
    <row r="641" ht="15.75" customHeight="1" x14ac:dyDescent="0.15"/>
    <row r="642" ht="15.75" customHeight="1" x14ac:dyDescent="0.15"/>
    <row r="643" ht="15.75" customHeight="1" x14ac:dyDescent="0.15"/>
    <row r="644" ht="15.75" customHeight="1" x14ac:dyDescent="0.15"/>
    <row r="645" ht="15.75" customHeight="1" x14ac:dyDescent="0.15"/>
    <row r="646" ht="15.75" customHeight="1" x14ac:dyDescent="0.15"/>
    <row r="647" ht="15.75" customHeight="1" x14ac:dyDescent="0.15"/>
    <row r="648" ht="15.75" customHeight="1" x14ac:dyDescent="0.15"/>
    <row r="649" ht="15.75" customHeight="1" x14ac:dyDescent="0.15"/>
    <row r="650" ht="15.75" customHeight="1" x14ac:dyDescent="0.15"/>
    <row r="651" ht="15.75" customHeight="1" x14ac:dyDescent="0.15"/>
    <row r="652" ht="15.75" customHeight="1" x14ac:dyDescent="0.15"/>
    <row r="653" ht="15.75" customHeight="1" x14ac:dyDescent="0.15"/>
    <row r="654" ht="15.75" customHeight="1" x14ac:dyDescent="0.15"/>
    <row r="655" ht="15.75" customHeight="1" x14ac:dyDescent="0.15"/>
    <row r="656" ht="15.75" customHeight="1" x14ac:dyDescent="0.15"/>
    <row r="657" ht="15.75" customHeight="1" x14ac:dyDescent="0.15"/>
    <row r="658" ht="15.75" customHeight="1" x14ac:dyDescent="0.15"/>
    <row r="659" ht="15.75" customHeight="1" x14ac:dyDescent="0.15"/>
    <row r="660" ht="15.75" customHeight="1" x14ac:dyDescent="0.15"/>
    <row r="661" ht="15.75" customHeight="1" x14ac:dyDescent="0.15"/>
    <row r="662" ht="15.75" customHeight="1" x14ac:dyDescent="0.15"/>
    <row r="663" ht="15.75" customHeight="1" x14ac:dyDescent="0.15"/>
    <row r="664" ht="15.75" customHeight="1" x14ac:dyDescent="0.15"/>
    <row r="665" ht="15.75" customHeight="1" x14ac:dyDescent="0.15"/>
    <row r="666" ht="15.75" customHeight="1" x14ac:dyDescent="0.15"/>
    <row r="667" ht="15.75" customHeight="1" x14ac:dyDescent="0.15"/>
    <row r="668" ht="15.75" customHeight="1" x14ac:dyDescent="0.15"/>
    <row r="669" ht="15.75" customHeight="1" x14ac:dyDescent="0.15"/>
    <row r="670" ht="15.75" customHeight="1" x14ac:dyDescent="0.15"/>
    <row r="671" ht="15.75" customHeight="1" x14ac:dyDescent="0.15"/>
    <row r="672" ht="15.75" customHeight="1" x14ac:dyDescent="0.15"/>
    <row r="673" ht="15.75" customHeight="1" x14ac:dyDescent="0.15"/>
    <row r="674" ht="15.75" customHeight="1" x14ac:dyDescent="0.15"/>
    <row r="675" ht="15.75" customHeight="1" x14ac:dyDescent="0.15"/>
    <row r="676" ht="15.75" customHeight="1" x14ac:dyDescent="0.15"/>
    <row r="677" ht="15.75" customHeight="1" x14ac:dyDescent="0.15"/>
    <row r="678" ht="15.75" customHeight="1" x14ac:dyDescent="0.15"/>
    <row r="679" ht="15.75" customHeight="1" x14ac:dyDescent="0.15"/>
    <row r="680" ht="15.75" customHeight="1" x14ac:dyDescent="0.15"/>
    <row r="681" ht="15.75" customHeight="1" x14ac:dyDescent="0.15"/>
    <row r="682" ht="15.75" customHeight="1" x14ac:dyDescent="0.15"/>
    <row r="683" ht="15.75" customHeight="1" x14ac:dyDescent="0.15"/>
    <row r="684" ht="15.75" customHeight="1" x14ac:dyDescent="0.15"/>
    <row r="685" ht="15.75" customHeight="1" x14ac:dyDescent="0.15"/>
    <row r="686" ht="15.75" customHeight="1" x14ac:dyDescent="0.15"/>
    <row r="687" ht="15.75" customHeight="1" x14ac:dyDescent="0.15"/>
    <row r="688" ht="15.75" customHeight="1" x14ac:dyDescent="0.15"/>
    <row r="689" ht="15.75" customHeight="1" x14ac:dyDescent="0.15"/>
    <row r="690" ht="15.75" customHeight="1" x14ac:dyDescent="0.15"/>
    <row r="691" ht="15.75" customHeight="1" x14ac:dyDescent="0.15"/>
    <row r="692" ht="15.75" customHeight="1" x14ac:dyDescent="0.15"/>
    <row r="693" ht="15.75" customHeight="1" x14ac:dyDescent="0.15"/>
    <row r="694" ht="15.75" customHeight="1" x14ac:dyDescent="0.15"/>
    <row r="695" ht="15.75" customHeight="1" x14ac:dyDescent="0.15"/>
    <row r="696" ht="15.75" customHeight="1" x14ac:dyDescent="0.15"/>
    <row r="697" ht="15.75" customHeight="1" x14ac:dyDescent="0.15"/>
    <row r="698" ht="15.75" customHeight="1" x14ac:dyDescent="0.15"/>
    <row r="699" ht="15.75" customHeight="1" x14ac:dyDescent="0.15"/>
    <row r="700" ht="15.75" customHeight="1" x14ac:dyDescent="0.15"/>
    <row r="701" ht="15.75" customHeight="1" x14ac:dyDescent="0.15"/>
    <row r="702" ht="15.75" customHeight="1" x14ac:dyDescent="0.15"/>
    <row r="703" ht="15.75" customHeight="1" x14ac:dyDescent="0.15"/>
    <row r="704" ht="15.75" customHeight="1" x14ac:dyDescent="0.15"/>
    <row r="705" ht="15.75" customHeight="1" x14ac:dyDescent="0.15"/>
    <row r="706" ht="15.75" customHeight="1" x14ac:dyDescent="0.15"/>
    <row r="707" ht="15.75" customHeight="1" x14ac:dyDescent="0.15"/>
    <row r="708" ht="15.75" customHeight="1" x14ac:dyDescent="0.15"/>
    <row r="709" ht="15.75" customHeight="1" x14ac:dyDescent="0.15"/>
    <row r="710" ht="15.75" customHeight="1" x14ac:dyDescent="0.15"/>
    <row r="711" ht="15.75" customHeight="1" x14ac:dyDescent="0.15"/>
    <row r="712" ht="15.75" customHeight="1" x14ac:dyDescent="0.15"/>
    <row r="713" ht="15.75" customHeight="1" x14ac:dyDescent="0.15"/>
    <row r="714" ht="15.75" customHeight="1" x14ac:dyDescent="0.15"/>
    <row r="715" ht="15.75" customHeight="1" x14ac:dyDescent="0.15"/>
    <row r="716" ht="15.75" customHeight="1" x14ac:dyDescent="0.15"/>
    <row r="717" ht="15.75" customHeight="1" x14ac:dyDescent="0.15"/>
    <row r="718" ht="15.75" customHeight="1" x14ac:dyDescent="0.15"/>
    <row r="719" ht="15.75" customHeight="1" x14ac:dyDescent="0.15"/>
    <row r="720" ht="15.75" customHeight="1" x14ac:dyDescent="0.15"/>
    <row r="721" ht="15.75" customHeight="1" x14ac:dyDescent="0.15"/>
    <row r="722" ht="15.75" customHeight="1" x14ac:dyDescent="0.15"/>
    <row r="723" ht="15.75" customHeight="1" x14ac:dyDescent="0.15"/>
    <row r="724" ht="15.75" customHeight="1" x14ac:dyDescent="0.15"/>
    <row r="725" ht="15.75" customHeight="1" x14ac:dyDescent="0.15"/>
    <row r="726" ht="15.75" customHeight="1" x14ac:dyDescent="0.15"/>
    <row r="727" ht="15.75" customHeight="1" x14ac:dyDescent="0.15"/>
    <row r="728" ht="15.75" customHeight="1" x14ac:dyDescent="0.15"/>
    <row r="729" ht="15.75" customHeight="1" x14ac:dyDescent="0.15"/>
    <row r="730" ht="15.75" customHeight="1" x14ac:dyDescent="0.15"/>
    <row r="731" ht="15.75" customHeight="1" x14ac:dyDescent="0.15"/>
    <row r="732" ht="15.75" customHeight="1" x14ac:dyDescent="0.15"/>
    <row r="733" ht="15.75" customHeight="1" x14ac:dyDescent="0.15"/>
    <row r="734" ht="15.75" customHeight="1" x14ac:dyDescent="0.15"/>
    <row r="735" ht="15.75" customHeight="1" x14ac:dyDescent="0.15"/>
    <row r="736" ht="15.75" customHeight="1" x14ac:dyDescent="0.15"/>
    <row r="737" ht="15.75" customHeight="1" x14ac:dyDescent="0.15"/>
    <row r="738" ht="15.75" customHeight="1" x14ac:dyDescent="0.15"/>
    <row r="739" ht="15.75" customHeight="1" x14ac:dyDescent="0.15"/>
    <row r="740" ht="15.75" customHeight="1" x14ac:dyDescent="0.15"/>
    <row r="741" ht="15.75" customHeight="1" x14ac:dyDescent="0.15"/>
    <row r="742" ht="15.75" customHeight="1" x14ac:dyDescent="0.15"/>
    <row r="743" ht="15.75" customHeight="1" x14ac:dyDescent="0.15"/>
    <row r="744" ht="15.75" customHeight="1" x14ac:dyDescent="0.15"/>
    <row r="745" ht="15.75" customHeight="1" x14ac:dyDescent="0.15"/>
    <row r="746" ht="15.75" customHeight="1" x14ac:dyDescent="0.15"/>
    <row r="747" ht="15.75" customHeight="1" x14ac:dyDescent="0.15"/>
    <row r="748" ht="15.75" customHeight="1" x14ac:dyDescent="0.15"/>
    <row r="749" ht="15.75" customHeight="1" x14ac:dyDescent="0.15"/>
    <row r="750" ht="15.75" customHeight="1" x14ac:dyDescent="0.15"/>
    <row r="751" ht="15.75" customHeight="1" x14ac:dyDescent="0.15"/>
    <row r="752" ht="15.75" customHeight="1" x14ac:dyDescent="0.15"/>
    <row r="753" ht="15.75" customHeight="1" x14ac:dyDescent="0.15"/>
    <row r="754" ht="15.75" customHeight="1" x14ac:dyDescent="0.15"/>
    <row r="755" ht="15.75" customHeight="1" x14ac:dyDescent="0.15"/>
    <row r="756" ht="15.75" customHeight="1" x14ac:dyDescent="0.15"/>
    <row r="757" ht="15.75" customHeight="1" x14ac:dyDescent="0.15"/>
    <row r="758" ht="15.75" customHeight="1" x14ac:dyDescent="0.15"/>
    <row r="759" ht="15.75" customHeight="1" x14ac:dyDescent="0.15"/>
    <row r="760" ht="15.75" customHeight="1" x14ac:dyDescent="0.15"/>
    <row r="761" ht="15.75" customHeight="1" x14ac:dyDescent="0.15"/>
    <row r="762" ht="15.75" customHeight="1" x14ac:dyDescent="0.15"/>
    <row r="763" ht="15.75" customHeight="1" x14ac:dyDescent="0.15"/>
    <row r="764" ht="15.75" customHeight="1" x14ac:dyDescent="0.15"/>
    <row r="765" ht="15.75" customHeight="1" x14ac:dyDescent="0.15"/>
    <row r="766" ht="15.75" customHeight="1" x14ac:dyDescent="0.15"/>
    <row r="767" ht="15.75" customHeight="1" x14ac:dyDescent="0.15"/>
    <row r="768" ht="15.75" customHeight="1" x14ac:dyDescent="0.15"/>
    <row r="769" ht="15.75" customHeight="1" x14ac:dyDescent="0.15"/>
    <row r="770" ht="15.75" customHeight="1" x14ac:dyDescent="0.15"/>
    <row r="771" ht="15.75" customHeight="1" x14ac:dyDescent="0.15"/>
    <row r="772" ht="15.75" customHeight="1" x14ac:dyDescent="0.15"/>
    <row r="773" ht="15.75" customHeight="1" x14ac:dyDescent="0.15"/>
    <row r="774" ht="15.75" customHeight="1" x14ac:dyDescent="0.15"/>
    <row r="775" ht="15.75" customHeight="1" x14ac:dyDescent="0.15"/>
    <row r="776" ht="15.75" customHeight="1" x14ac:dyDescent="0.15"/>
    <row r="777" ht="15.75" customHeight="1" x14ac:dyDescent="0.15"/>
    <row r="778" ht="15.75" customHeight="1" x14ac:dyDescent="0.15"/>
    <row r="779" ht="15.75" customHeight="1" x14ac:dyDescent="0.15"/>
    <row r="780" ht="15.75" customHeight="1" x14ac:dyDescent="0.15"/>
    <row r="781" ht="15.75" customHeight="1" x14ac:dyDescent="0.15"/>
    <row r="782" ht="15.75" customHeight="1" x14ac:dyDescent="0.15"/>
    <row r="783" ht="15.75" customHeight="1" x14ac:dyDescent="0.15"/>
    <row r="784" ht="15.75" customHeight="1" x14ac:dyDescent="0.15"/>
    <row r="785" ht="15.75" customHeight="1" x14ac:dyDescent="0.15"/>
    <row r="786" ht="15.75" customHeight="1" x14ac:dyDescent="0.15"/>
    <row r="787" ht="15.75" customHeight="1" x14ac:dyDescent="0.15"/>
    <row r="788" ht="15.75" customHeight="1" x14ac:dyDescent="0.15"/>
    <row r="789" ht="15.75" customHeight="1" x14ac:dyDescent="0.15"/>
    <row r="790" ht="15.75" customHeight="1" x14ac:dyDescent="0.15"/>
    <row r="791" ht="15.75" customHeight="1" x14ac:dyDescent="0.15"/>
    <row r="792" ht="15.75" customHeight="1" x14ac:dyDescent="0.15"/>
    <row r="793" ht="15.75" customHeight="1" x14ac:dyDescent="0.15"/>
    <row r="794" ht="15.75" customHeight="1" x14ac:dyDescent="0.15"/>
    <row r="795" ht="15.75" customHeight="1" x14ac:dyDescent="0.15"/>
    <row r="796" ht="15.75" customHeight="1" x14ac:dyDescent="0.15"/>
    <row r="797" ht="15.75" customHeight="1" x14ac:dyDescent="0.15"/>
    <row r="798" ht="15.75" customHeight="1" x14ac:dyDescent="0.15"/>
    <row r="799" ht="15.75" customHeight="1" x14ac:dyDescent="0.15"/>
    <row r="800" ht="15.75" customHeight="1" x14ac:dyDescent="0.15"/>
    <row r="801" ht="15.75" customHeight="1" x14ac:dyDescent="0.15"/>
    <row r="802" ht="15.75" customHeight="1" x14ac:dyDescent="0.15"/>
    <row r="803" ht="15.75" customHeight="1" x14ac:dyDescent="0.15"/>
    <row r="804" ht="15.75" customHeight="1" x14ac:dyDescent="0.15"/>
    <row r="805" ht="15.75" customHeight="1" x14ac:dyDescent="0.15"/>
    <row r="806" ht="15.75" customHeight="1" x14ac:dyDescent="0.15"/>
    <row r="807" ht="15.75" customHeight="1" x14ac:dyDescent="0.15"/>
    <row r="808" ht="15.75" customHeight="1" x14ac:dyDescent="0.15"/>
    <row r="809" ht="15.75" customHeight="1" x14ac:dyDescent="0.15"/>
    <row r="810" ht="15.75" customHeight="1" x14ac:dyDescent="0.15"/>
    <row r="811" ht="15.75" customHeight="1" x14ac:dyDescent="0.15"/>
    <row r="812" ht="15.75" customHeight="1" x14ac:dyDescent="0.15"/>
    <row r="813" ht="15.75" customHeight="1" x14ac:dyDescent="0.15"/>
    <row r="814" ht="15.75" customHeight="1" x14ac:dyDescent="0.15"/>
    <row r="815" ht="15.75" customHeight="1" x14ac:dyDescent="0.15"/>
    <row r="816" ht="15.75" customHeight="1" x14ac:dyDescent="0.15"/>
    <row r="817" ht="15.75" customHeight="1" x14ac:dyDescent="0.15"/>
    <row r="818" ht="15.75" customHeight="1" x14ac:dyDescent="0.15"/>
    <row r="819" ht="15.75" customHeight="1" x14ac:dyDescent="0.15"/>
    <row r="820" ht="15.75" customHeight="1" x14ac:dyDescent="0.15"/>
    <row r="821" ht="15.75" customHeight="1" x14ac:dyDescent="0.15"/>
    <row r="822" ht="15.75" customHeight="1" x14ac:dyDescent="0.15"/>
    <row r="823" ht="15.75" customHeight="1" x14ac:dyDescent="0.15"/>
    <row r="824" ht="15.75" customHeight="1" x14ac:dyDescent="0.15"/>
    <row r="825" ht="15.75" customHeight="1" x14ac:dyDescent="0.15"/>
    <row r="826" ht="15.75" customHeight="1" x14ac:dyDescent="0.15"/>
    <row r="827" ht="15.75" customHeight="1" x14ac:dyDescent="0.15"/>
    <row r="828" ht="15.75" customHeight="1" x14ac:dyDescent="0.15"/>
    <row r="829" ht="15.75" customHeight="1" x14ac:dyDescent="0.15"/>
    <row r="830" ht="15.75" customHeight="1" x14ac:dyDescent="0.15"/>
    <row r="831" ht="15.75" customHeight="1" x14ac:dyDescent="0.15"/>
    <row r="832" ht="15.75" customHeight="1" x14ac:dyDescent="0.15"/>
    <row r="833" ht="15.75" customHeight="1" x14ac:dyDescent="0.15"/>
    <row r="834" ht="15.75" customHeight="1" x14ac:dyDescent="0.15"/>
    <row r="835" ht="15.75" customHeight="1" x14ac:dyDescent="0.15"/>
    <row r="836" ht="15.75" customHeight="1" x14ac:dyDescent="0.15"/>
    <row r="837" ht="15.75" customHeight="1" x14ac:dyDescent="0.15"/>
    <row r="838" ht="15.75" customHeight="1" x14ac:dyDescent="0.15"/>
    <row r="839" ht="15.75" customHeight="1" x14ac:dyDescent="0.15"/>
    <row r="840" ht="15.75" customHeight="1" x14ac:dyDescent="0.15"/>
    <row r="841" ht="15.75" customHeight="1" x14ac:dyDescent="0.15"/>
    <row r="842" ht="15.75" customHeight="1" x14ac:dyDescent="0.15"/>
    <row r="843" ht="15.75" customHeight="1" x14ac:dyDescent="0.15"/>
    <row r="844" ht="15.75" customHeight="1" x14ac:dyDescent="0.15"/>
    <row r="845" ht="15.75" customHeight="1" x14ac:dyDescent="0.15"/>
    <row r="846" ht="15.75" customHeight="1" x14ac:dyDescent="0.15"/>
    <row r="847" ht="15.75" customHeight="1" x14ac:dyDescent="0.15"/>
    <row r="848" ht="15.75" customHeight="1" x14ac:dyDescent="0.15"/>
    <row r="849" ht="15.75" customHeight="1" x14ac:dyDescent="0.15"/>
    <row r="850" ht="15.75" customHeight="1" x14ac:dyDescent="0.15"/>
    <row r="851" ht="15.75" customHeight="1" x14ac:dyDescent="0.15"/>
    <row r="852" ht="15.75" customHeight="1" x14ac:dyDescent="0.15"/>
    <row r="853" ht="15.75" customHeight="1" x14ac:dyDescent="0.15"/>
    <row r="854" ht="15.75" customHeight="1" x14ac:dyDescent="0.15"/>
    <row r="855" ht="15.75" customHeight="1" x14ac:dyDescent="0.15"/>
    <row r="856" ht="15.75" customHeight="1" x14ac:dyDescent="0.15"/>
    <row r="857" ht="15.75" customHeight="1" x14ac:dyDescent="0.15"/>
    <row r="858" ht="15.75" customHeight="1" x14ac:dyDescent="0.15"/>
    <row r="859" ht="15.75" customHeight="1" x14ac:dyDescent="0.15"/>
    <row r="860" ht="15.75" customHeight="1" x14ac:dyDescent="0.15"/>
    <row r="861" ht="15.75" customHeight="1" x14ac:dyDescent="0.15"/>
    <row r="862" ht="15.75" customHeight="1" x14ac:dyDescent="0.15"/>
    <row r="863" ht="15.75" customHeight="1" x14ac:dyDescent="0.15"/>
    <row r="864" ht="15.75" customHeight="1" x14ac:dyDescent="0.15"/>
    <row r="865" ht="15.75" customHeight="1" x14ac:dyDescent="0.15"/>
    <row r="866" ht="15.75" customHeight="1" x14ac:dyDescent="0.15"/>
    <row r="867" ht="15.75" customHeight="1" x14ac:dyDescent="0.15"/>
    <row r="868" ht="15.75" customHeight="1" x14ac:dyDescent="0.15"/>
    <row r="869" ht="15.75" customHeight="1" x14ac:dyDescent="0.15"/>
    <row r="870" ht="15.75" customHeight="1" x14ac:dyDescent="0.15"/>
    <row r="871" ht="15.75" customHeight="1" x14ac:dyDescent="0.15"/>
    <row r="872" ht="15.75" customHeight="1" x14ac:dyDescent="0.15"/>
    <row r="873" ht="15.75" customHeight="1" x14ac:dyDescent="0.15"/>
    <row r="874" ht="15.75" customHeight="1" x14ac:dyDescent="0.15"/>
    <row r="875" ht="15.75" customHeight="1" x14ac:dyDescent="0.15"/>
    <row r="876" ht="15.75" customHeight="1" x14ac:dyDescent="0.15"/>
    <row r="877" ht="15.75" customHeight="1" x14ac:dyDescent="0.15"/>
    <row r="878" ht="15.75" customHeight="1" x14ac:dyDescent="0.15"/>
    <row r="879" ht="15.75" customHeight="1" x14ac:dyDescent="0.15"/>
    <row r="880" ht="15.75" customHeight="1" x14ac:dyDescent="0.15"/>
    <row r="881" ht="15.75" customHeight="1" x14ac:dyDescent="0.15"/>
    <row r="882" ht="15.75" customHeight="1" x14ac:dyDescent="0.15"/>
    <row r="883" ht="15.75" customHeight="1" x14ac:dyDescent="0.15"/>
    <row r="884" ht="15.75" customHeight="1" x14ac:dyDescent="0.15"/>
    <row r="885" ht="15.75" customHeight="1" x14ac:dyDescent="0.15"/>
    <row r="886" ht="15.75" customHeight="1" x14ac:dyDescent="0.15"/>
    <row r="887" ht="15.75" customHeight="1" x14ac:dyDescent="0.15"/>
    <row r="888" ht="15.75" customHeight="1" x14ac:dyDescent="0.15"/>
    <row r="889" ht="15.75" customHeight="1" x14ac:dyDescent="0.15"/>
    <row r="890" ht="15.75" customHeight="1" x14ac:dyDescent="0.15"/>
    <row r="891" ht="15.75" customHeight="1" x14ac:dyDescent="0.15"/>
    <row r="892" ht="15.75" customHeight="1" x14ac:dyDescent="0.15"/>
    <row r="893" ht="15.75" customHeight="1" x14ac:dyDescent="0.15"/>
    <row r="894" ht="15.75" customHeight="1" x14ac:dyDescent="0.15"/>
    <row r="895" ht="15.75" customHeight="1" x14ac:dyDescent="0.15"/>
    <row r="896" ht="15.75" customHeight="1" x14ac:dyDescent="0.15"/>
    <row r="897" ht="15.75" customHeight="1" x14ac:dyDescent="0.15"/>
    <row r="898" ht="15.75" customHeight="1" x14ac:dyDescent="0.15"/>
    <row r="899" ht="15.75" customHeight="1" x14ac:dyDescent="0.15"/>
    <row r="900" ht="15.75" customHeight="1" x14ac:dyDescent="0.15"/>
    <row r="901" ht="15.75" customHeight="1" x14ac:dyDescent="0.15"/>
    <row r="902" ht="15.75" customHeight="1" x14ac:dyDescent="0.15"/>
    <row r="903" ht="15.75" customHeight="1" x14ac:dyDescent="0.15"/>
    <row r="904" ht="15.75" customHeight="1" x14ac:dyDescent="0.15"/>
    <row r="905" ht="15.75" customHeight="1" x14ac:dyDescent="0.15"/>
    <row r="906" ht="15.75" customHeight="1" x14ac:dyDescent="0.15"/>
    <row r="907" ht="15.75" customHeight="1" x14ac:dyDescent="0.15"/>
    <row r="908" ht="15.75" customHeight="1" x14ac:dyDescent="0.15"/>
    <row r="909" ht="15.75" customHeight="1" x14ac:dyDescent="0.15"/>
    <row r="910" ht="15.75" customHeight="1" x14ac:dyDescent="0.15"/>
    <row r="911" ht="15.75" customHeight="1" x14ac:dyDescent="0.15"/>
    <row r="912" ht="15.75" customHeight="1" x14ac:dyDescent="0.15"/>
    <row r="913" ht="15.75" customHeight="1" x14ac:dyDescent="0.15"/>
    <row r="914" ht="15.75" customHeight="1" x14ac:dyDescent="0.15"/>
    <row r="915" ht="15.75" customHeight="1" x14ac:dyDescent="0.15"/>
    <row r="916" ht="15.75" customHeight="1" x14ac:dyDescent="0.15"/>
    <row r="917" ht="15.75" customHeight="1" x14ac:dyDescent="0.15"/>
    <row r="918" ht="15.75" customHeight="1" x14ac:dyDescent="0.15"/>
    <row r="919" ht="15.75" customHeight="1" x14ac:dyDescent="0.15"/>
    <row r="920" ht="15.75" customHeight="1" x14ac:dyDescent="0.15"/>
    <row r="921" ht="15.75" customHeight="1" x14ac:dyDescent="0.15"/>
    <row r="922" ht="15.75" customHeight="1" x14ac:dyDescent="0.15"/>
    <row r="923" ht="15.75" customHeight="1" x14ac:dyDescent="0.15"/>
    <row r="924" ht="15.75" customHeight="1" x14ac:dyDescent="0.15"/>
    <row r="925" ht="15.75" customHeight="1" x14ac:dyDescent="0.15"/>
    <row r="926" ht="15.75" customHeight="1" x14ac:dyDescent="0.15"/>
    <row r="927" ht="15.75" customHeight="1" x14ac:dyDescent="0.15"/>
    <row r="928" ht="15.75" customHeight="1" x14ac:dyDescent="0.15"/>
    <row r="929" ht="15.75" customHeight="1" x14ac:dyDescent="0.15"/>
    <row r="930" ht="15.75" customHeight="1" x14ac:dyDescent="0.15"/>
    <row r="931" ht="15.75" customHeight="1" x14ac:dyDescent="0.15"/>
    <row r="932" ht="15.75" customHeight="1" x14ac:dyDescent="0.15"/>
    <row r="933" ht="15.75" customHeight="1" x14ac:dyDescent="0.15"/>
    <row r="934" ht="15.75" customHeight="1" x14ac:dyDescent="0.15"/>
    <row r="935" ht="15.75" customHeight="1" x14ac:dyDescent="0.15"/>
    <row r="936" ht="15.75" customHeight="1" x14ac:dyDescent="0.15"/>
    <row r="937" ht="15.75" customHeight="1" x14ac:dyDescent="0.15"/>
    <row r="938" ht="15.75" customHeight="1" x14ac:dyDescent="0.15"/>
    <row r="939" ht="15.75" customHeight="1" x14ac:dyDescent="0.15"/>
    <row r="940" ht="15.75" customHeight="1" x14ac:dyDescent="0.15"/>
    <row r="941" ht="15.75" customHeight="1" x14ac:dyDescent="0.15"/>
    <row r="942" ht="15.75" customHeight="1" x14ac:dyDescent="0.15"/>
    <row r="943" ht="15.75" customHeight="1" x14ac:dyDescent="0.15"/>
    <row r="944" ht="15.75" customHeight="1" x14ac:dyDescent="0.15"/>
    <row r="945" ht="15.75" customHeight="1" x14ac:dyDescent="0.15"/>
    <row r="946" ht="15.75" customHeight="1" x14ac:dyDescent="0.15"/>
    <row r="947" ht="15.75" customHeight="1" x14ac:dyDescent="0.15"/>
    <row r="948" ht="15.75" customHeight="1" x14ac:dyDescent="0.15"/>
    <row r="949" ht="15.75" customHeight="1" x14ac:dyDescent="0.15"/>
    <row r="950" ht="15.75" customHeight="1" x14ac:dyDescent="0.15"/>
    <row r="951" ht="15.75" customHeight="1" x14ac:dyDescent="0.15"/>
    <row r="952" ht="15.75" customHeight="1" x14ac:dyDescent="0.15"/>
    <row r="953" ht="15.75" customHeight="1" x14ac:dyDescent="0.15"/>
    <row r="954" ht="15.75" customHeight="1" x14ac:dyDescent="0.15"/>
    <row r="955" ht="15.75" customHeight="1" x14ac:dyDescent="0.15"/>
    <row r="956" ht="15.75" customHeight="1" x14ac:dyDescent="0.15"/>
    <row r="957" ht="15.75" customHeight="1" x14ac:dyDescent="0.15"/>
    <row r="958" ht="15.75" customHeight="1" x14ac:dyDescent="0.15"/>
    <row r="959" ht="15.75" customHeight="1" x14ac:dyDescent="0.15"/>
    <row r="960" ht="15.75" customHeight="1" x14ac:dyDescent="0.15"/>
    <row r="961" ht="15.75" customHeight="1" x14ac:dyDescent="0.15"/>
    <row r="962" ht="15.75" customHeight="1" x14ac:dyDescent="0.15"/>
    <row r="963" ht="15.75" customHeight="1" x14ac:dyDescent="0.15"/>
    <row r="964" ht="15.75" customHeight="1" x14ac:dyDescent="0.15"/>
    <row r="965" ht="15.75" customHeight="1" x14ac:dyDescent="0.15"/>
    <row r="966" ht="15.75" customHeight="1" x14ac:dyDescent="0.15"/>
    <row r="967" ht="15.75" customHeight="1" x14ac:dyDescent="0.15"/>
    <row r="968" ht="15.75" customHeight="1" x14ac:dyDescent="0.15"/>
    <row r="969" ht="15.75" customHeight="1" x14ac:dyDescent="0.15"/>
    <row r="970" ht="15.75" customHeight="1" x14ac:dyDescent="0.15"/>
    <row r="971" ht="15.75" customHeight="1" x14ac:dyDescent="0.15"/>
    <row r="972" ht="15.75" customHeight="1" x14ac:dyDescent="0.15"/>
    <row r="973" ht="15.75" customHeight="1" x14ac:dyDescent="0.15"/>
    <row r="974" ht="15.75" customHeight="1" x14ac:dyDescent="0.15"/>
    <row r="975" ht="15.75" customHeight="1" x14ac:dyDescent="0.15"/>
    <row r="976" ht="15.75" customHeight="1" x14ac:dyDescent="0.15"/>
    <row r="977" ht="15.75" customHeight="1" x14ac:dyDescent="0.15"/>
    <row r="978" ht="15.75" customHeight="1" x14ac:dyDescent="0.15"/>
    <row r="979" ht="15.75" customHeight="1" x14ac:dyDescent="0.15"/>
    <row r="980" ht="15.75" customHeight="1" x14ac:dyDescent="0.15"/>
    <row r="981" ht="15.75" customHeight="1" x14ac:dyDescent="0.15"/>
    <row r="982" ht="15.75" customHeight="1" x14ac:dyDescent="0.15"/>
    <row r="983" ht="15.75" customHeight="1" x14ac:dyDescent="0.15"/>
    <row r="984" ht="15.75" customHeight="1" x14ac:dyDescent="0.15"/>
    <row r="985" ht="15.75" customHeight="1" x14ac:dyDescent="0.15"/>
    <row r="986" ht="15.75" customHeight="1" x14ac:dyDescent="0.15"/>
    <row r="987" ht="15.75" customHeight="1" x14ac:dyDescent="0.15"/>
    <row r="988" ht="15.75" customHeight="1" x14ac:dyDescent="0.15"/>
    <row r="989" ht="15.75" customHeight="1" x14ac:dyDescent="0.15"/>
    <row r="990" ht="15.75" customHeight="1" x14ac:dyDescent="0.15"/>
    <row r="991" ht="15.75" customHeight="1" x14ac:dyDescent="0.15"/>
    <row r="992" ht="15.75" customHeight="1" x14ac:dyDescent="0.15"/>
    <row r="993" ht="15.75" customHeight="1" x14ac:dyDescent="0.15"/>
    <row r="994" ht="15.75" customHeight="1" x14ac:dyDescent="0.15"/>
    <row r="995" ht="15.75" customHeight="1" x14ac:dyDescent="0.15"/>
    <row r="996" ht="15.75" customHeight="1" x14ac:dyDescent="0.15"/>
    <row r="997" ht="15.75" customHeight="1" x14ac:dyDescent="0.15"/>
    <row r="998" ht="15.75" customHeight="1" x14ac:dyDescent="0.15"/>
    <row r="999" ht="15.75" customHeight="1" x14ac:dyDescent="0.15"/>
    <row r="1000" ht="15.75" customHeight="1" x14ac:dyDescent="0.15"/>
  </sheetData>
  <mergeCells count="7">
    <mergeCell ref="H34:H43"/>
    <mergeCell ref="H44:H48"/>
    <mergeCell ref="B6:D6"/>
    <mergeCell ref="F6:H6"/>
    <mergeCell ref="H8:H18"/>
    <mergeCell ref="H19:H28"/>
    <mergeCell ref="H29:H33"/>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1</vt:i4>
      </vt:variant>
    </vt:vector>
  </HeadingPairs>
  <TitlesOfParts>
    <vt:vector size="7" baseType="lpstr">
      <vt:lpstr>INPUT DATA</vt:lpstr>
      <vt:lpstr>TERM 1</vt:lpstr>
      <vt:lpstr>TERM 2</vt:lpstr>
      <vt:lpstr>TERM 3</vt:lpstr>
      <vt:lpstr>FINAL GRADES</vt:lpstr>
      <vt:lpstr>HELPER</vt:lpstr>
      <vt:lpstr>'FINAL GRADES'!Print_Area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JHON JOEMAR LA VICTORIA</cp:lastModifiedBy>
  <cp:lastPrinted>2026-09-29T07:36:37Z</cp:lastPrinted>
  <dcterms:created xsi:type="dcterms:W3CDTF">2026-08-29T07:40:19Z</dcterms:created>
  <dcterms:modified xsi:type="dcterms:W3CDTF">2026-09-29T07:36:42Z</dcterms:modified>
</cp:coreProperties>
</file>